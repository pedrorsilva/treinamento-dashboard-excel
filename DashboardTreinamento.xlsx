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44509617-EE14-4818-B42D-B99FDF86EC46}" xr6:coauthVersionLast="47" xr6:coauthVersionMax="47" xr10:uidLastSave="{00000000-0000-0000-0000-000000000000}"/>
  <bookViews>
    <workbookView xWindow="25490" yWindow="-110" windowWidth="38620" windowHeight="21100" tabRatio="221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9" i="3" l="1"/>
  <c r="F391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<sst xmlns="http://schemas.openxmlformats.org/spreadsheetml/2006/main" count="2021" uniqueCount="323">
  <si>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</si>
  <si>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</si>
  <si>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</si>
  <si>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</si>
  <si>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</si>
  <si>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</si>
  <si>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</si>
  <si>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</si>
  <si>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</si>
  <si>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</si>
  <si>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</si>
  <si>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</si>
  <si>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</si>
  <si>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</si>
  <si>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</si>
  <si>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</si>
  <si>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</si>
  <si>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</si>
  <si>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</si>
  <si>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</si>
  <si>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</si>
  <si>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</si>
  <si>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</si>
  <si>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</si>
  <si>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</si>
  <si>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</si>
  <si>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</si>
  <si>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</si>
  <si>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</si>
  <si>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</si>
  <si>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</si>
  <si>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</si>
  <si>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</si>
  <si>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</si>
  <si>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</si>
  <si>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</si>
  <si>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</si>
  <si>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</si>
  <si>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</si>
  <si>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</si>
  <si>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</si>
  <si>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</si>
  <si>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</si>
  <si>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</si>
  <si>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</si>
  <si>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</si>
  <si>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</si>
  <si>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</si>
  <si>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</si>
  <si>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</si>
  <si>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</si>
  <si>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</si>
  <si>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</si>
  <si>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</si>
  <si>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</si>
  <si>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</si>
  <si>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</si>
  <si>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</si>
  <si>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</si>
  <si>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</si>
  <si>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</si>
  <si>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</si>
  <si>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</si>
  <si>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</si>
  <si>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</si>
  <si>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</si>
  <si>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</si>
  <si>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</si>
  <si>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</si>
  <si>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</si>
  <si>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</si>
  <si>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</si>
  <si>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</si>
  <si>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</si>
  <si>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</si>
  <si>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</si>
  <si>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</si>
  <si>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</si>
  <si>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</si>
  <si>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</si>
  <si>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</si>
  <si>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</si>
  <si>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</si>
  <si>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</si>
  <si>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</si>
  <si>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</si>
  <si>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</si>
  <si>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</si>
  <si>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</si>
  <si>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</si>
  <si>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</si>
  <si>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</si>
  <si>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</si>
  <si>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</si>
  <si>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</si>
  <si>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</si>
  <si>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</si>
  <si>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</si>
  <si>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</si>
  <si>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</si>
  <si>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</si>
  <si>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</si>
  <si>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</si>
  <si>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</si>
  <si>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</si>
  <si>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</si>
  <si>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</si>
  <si>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</si>
  <si>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</si>
  <si>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</si>
  <si>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</si>
  <si>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</si>
  <si>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</si>
  <si>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</si>
  <si>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</si>
  <si>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</si>
  <si>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</si>
  <si>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</si>
  <si>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</si>
  <si>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</si>
  <si>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</si>
  <si>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</si>
  <si>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</si>
  <si>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</si>
  <si>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</si>
  <si>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</si>
  <si>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</si>
  <si>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</si>
  <si>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</si>
  <si>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</si>
  <si>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</si>
  <si>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</si>
  <si>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</si>
  <si>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</si>
  <si>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</si>
  <si>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</si>
  <si>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</si>
  <si>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</si>
  <si>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</si>
  <si>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</si>
  <si>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</si>
  <si>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</si>
  <si>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</si>
  <si>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</si>
  <si>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</si>
  <si>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</si>
  <si>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</si>
  <si>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</si>
  <si>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</si>
  <si>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</si>
  <si>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</si>
  <si>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</si>
  <si>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</si>
  <si>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</si>
  <si>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</si>
  <si>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</si>
  <si>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</si>
  <si>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</si>
  <si>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</si>
  <si>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</si>
  <si>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</si>
  <si>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</si>
  <si>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</si>
  <si>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</si>
  <si>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</si>
  <si>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</si>
  <si>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</si>
  <si>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</si>
  <si>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</si>
  <si>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</si>
  <si>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</si>
  <si>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</si>
  <si>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</si>
  <si>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</si>
  <si>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</si>
  <si>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</si>
  <si>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</si>
  <si>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</si>
  <si>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</si>
  <si>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</si>
  <si>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</si>
  <si>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</si>
  <si>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</si>
  <si>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</si>
  <si>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</si>
  <si>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</si>
  <si>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</si>
  <si>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</si>
  <si>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</si>
  <si>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</si>
  <si>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</si>
  <si>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</si>
  <si>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</si>
  <si>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</si>
  <si>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</si>
  <si>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</si>
  <si>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</si>
  <si>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</si>
  <si>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</si>
  <si>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</si>
  <si>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</si>
  <si>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</si>
  <si>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</si>
  <si>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</si>
  <si>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</si>
  <si>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</si>
  <si>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</si>
  <si>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</si>
  <si>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</si>
  <si>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</si>
  <si>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</si>
  <si>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</si>
  <si>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</si>
  <si>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</si>
  <si>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</si>
  <si>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</si>
  <si>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</si>
  <si>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</si>
  <si>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</si>
  <si>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</si>
  <si>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</si>
  <si>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</si>
  <si>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</si>
  <si>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</si>
  <si>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</si>
  <si>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</si>
  <si>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</si>
  <si>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</si>
  <si>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</si>
  <si>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</si>
  <si>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</si>
  <si>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</si>
  <si>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</si>
  <si>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</si>
  <si>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</si>
  <si>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</si>
  <si>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</si>
  <si>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</si>
  <si>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</si>
  <si>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</si>
  <si>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</si>
  <si>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</si>
  <si>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</si>
  <si>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</si>
  <si>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</si>
  <si>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</si>
  <si>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</si>
  <si>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</si>
  <si>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</si>
  <si>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</si>
  <si>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</si>
  <si>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</si>
  <si>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</si>
  <si>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</si>
  <si>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</si>
  <si>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</si>
  <si>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</si>
  <si>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</si>
  <si>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</si>
  <si>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</si>
  <si>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</si>
  <si>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</si>
  <si>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</si>
  <si>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</si>
  <si>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</si>
  <si>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</si>
  <si>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</si>
  <si>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</si>
  <si>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</si>
  <si>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</si>
  <si>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</si>
  <si>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</si>
  <si>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</si>
  <si>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</si>
  <si>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</si>
  <si>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</si>
  <si>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</si>
  <si>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</si>
  <si>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</si>
  <si>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</si>
  <si>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</si>
  <si>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</si>
  <si>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</si>
  <si>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</si>
  <si>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</si>
  <si>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</si>
  <si>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</si>
  <si>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</si>
  <si>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</si>
  <si>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</si>
  <si>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</si>
  <si>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</si>
  <si>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</si>
  <si>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</si>
  <si>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</si>
  <si>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</si>
  <si>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</si>
  <si>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</si>
  <si>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</si>
  <si>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</si>
  <si>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</si>
  <si>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</si>
  <si>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</si>
  <si>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</si>
  <si>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</si>
  <si>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</si>
  <si>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</si>
  <si>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</si>
  <si>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</si>
  <si>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</si>
  <si>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</si>
  <si>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</si>
  <si>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</si>
  <si>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</si>
  <si>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</si>
  <si>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</si>
  <si>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</si>
  <si>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de renovação</t>
    </r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</si>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</sst>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4" fillId="0" borderId="0" xfId="1" applyFont="1" applyBorder="1"/>
    <xf numFmtId="44" fontId="0" fillId="0" borderId="0" xfId="2" applyFont="1"/>
    <xf numFmtId="0" fontId="4" fillId="0" borderId="2" xfId="1" applyFont="1" applyBorder="1" applyAlignment="1">
      <alignment horizontal="left" indent="1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2"/>
        <color theme="0"/>
      </font>
      <fill>
        <patternFill patternType="solid">
          <bgColor rgb="FF2AE6B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5ADD06B-A102-4AB2-8005-DBE03C18BA90}">
      <tableStyleElement type="wholeTable" dxfId="15"/>
      <tableStyleElement type="headerRow" dxfId="14"/>
    </tableStyle>
  </tableStyles>
  <colors>
    <mruColors>
      <color rgb="FF2AE6B1"/>
      <color rgb="FFE8E6E9"/>
      <color rgb="FF5BF6A8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[DashboardTreinamento.xlsx]C̳álculos!tbl_annual_total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C̳álculos!$D$364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C̳álculos!$C$365:$C$367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C̳álculos!$D$365:$D$367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C-41F0-998B-5FF2E8D0A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431952"/>
        <c:axId val="489430032"/>
      </c:barChart>
      <c:catAx>
        <c:axId val="48943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9430032"/>
        <c:crosses val="autoZero"/>
        <c:auto val="1"/>
        <c:lblAlgn val="ctr"/>
        <c:lblOffset val="100"/>
        <c:noMultiLvlLbl val="0"/>
      </c:catAx>
      <c:valAx>
        <c:axId val="4894300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8943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60450" y="5422899"/>
          <a:ext cx="1546301" cy="75565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64435</xdr:colOff>
      <xdr:row>0</xdr:row>
      <xdr:rowOff>0</xdr:rowOff>
    </xdr:from>
    <xdr:to>
      <xdr:col>3</xdr:col>
      <xdr:colOff>167340</xdr:colOff>
      <xdr:row>6</xdr:row>
      <xdr:rowOff>44823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95A46EE-A536-4008-A570-8C2B7342A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5" r="71371"/>
        <a:stretch>
          <a:fillRect/>
        </a:stretch>
      </xdr:blipFill>
      <xdr:spPr>
        <a:xfrm>
          <a:off x="2328023" y="0"/>
          <a:ext cx="943346" cy="1423147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</xdr:colOff>
      <xdr:row>9</xdr:row>
      <xdr:rowOff>59531</xdr:rowOff>
    </xdr:from>
    <xdr:to>
      <xdr:col>0</xdr:col>
      <xdr:colOff>2229971</xdr:colOff>
      <xdr:row>24</xdr:row>
      <xdr:rowOff>166686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201F920F-781C-4272-9B1C-E0D02E6CBB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2009355"/>
              <a:ext cx="2218065" cy="2964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201707</xdr:colOff>
      <xdr:row>7</xdr:row>
      <xdr:rowOff>100853</xdr:rowOff>
    </xdr:from>
    <xdr:to>
      <xdr:col>12</xdr:col>
      <xdr:colOff>78442</xdr:colOff>
      <xdr:row>18</xdr:row>
      <xdr:rowOff>67236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B0E555D-3D69-FFFD-C53B-CBC79AE0928C}"/>
            </a:ext>
          </a:extLst>
        </xdr:cNvPr>
        <xdr:cNvGrpSpPr/>
      </xdr:nvGrpSpPr>
      <xdr:grpSpPr>
        <a:xfrm>
          <a:off x="2707529" y="1702734"/>
          <a:ext cx="5827619" cy="2102971"/>
          <a:chOff x="2991971" y="1512794"/>
          <a:chExt cx="5759823" cy="2061883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21D3634-6464-683B-8DA4-A96C217C4D91}"/>
              </a:ext>
            </a:extLst>
          </xdr:cNvPr>
          <xdr:cNvSpPr/>
        </xdr:nvSpPr>
        <xdr:spPr>
          <a:xfrm>
            <a:off x="3003176" y="1524000"/>
            <a:ext cx="5726206" cy="2050677"/>
          </a:xfrm>
          <a:prstGeom prst="roundRect">
            <a:avLst>
              <a:gd name="adj" fmla="val 4099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79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6946CF15-A38E-47AB-91EB-638426D950E3}"/>
              </a:ext>
            </a:extLst>
          </xdr:cNvPr>
          <xdr:cNvSpPr/>
        </xdr:nvSpPr>
        <xdr:spPr>
          <a:xfrm>
            <a:off x="4908176" y="2349657"/>
            <a:ext cx="3821207" cy="829235"/>
          </a:xfrm>
          <a:prstGeom prst="roundRect">
            <a:avLst>
              <a:gd name="adj" fmla="val 4099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A091FD9A-DE4E-4486-8C5C-6ED3EA01A35E}" type="TxLink">
              <a:rPr lang="en-US" sz="45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R$ 990,00 </a:t>
            </a:fld>
            <a:endParaRPr lang="pt-BR" sz="4500">
              <a:solidFill>
                <a:srgbClr val="2AE6B1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D7A38550-F6F7-44C0-85D5-3F47EBC31F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72117" y="2024686"/>
            <a:ext cx="1524000" cy="15240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7DEF5D2E-DF98-BC39-FAED-A5D587D7FB7C}"/>
              </a:ext>
            </a:extLst>
          </xdr:cNvPr>
          <xdr:cNvSpPr/>
        </xdr:nvSpPr>
        <xdr:spPr>
          <a:xfrm>
            <a:off x="2991971" y="1512794"/>
            <a:ext cx="5759823" cy="515471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500" b="1"/>
              <a:t>TOTAL</a:t>
            </a:r>
            <a:r>
              <a:rPr lang="pt-BR" sz="1500" b="1" baseline="0"/>
              <a:t> SUBSCRIPTIONS EA PLAY SEASON PASS</a:t>
            </a:r>
            <a:endParaRPr lang="pt-BR" sz="1500" b="1"/>
          </a:p>
        </xdr:txBody>
      </xdr:sp>
    </xdr:grpSp>
    <xdr:clientData/>
  </xdr:twoCellAnchor>
  <xdr:twoCellAnchor>
    <xdr:from>
      <xdr:col>13</xdr:col>
      <xdr:colOff>387724</xdr:colOff>
      <xdr:row>7</xdr:row>
      <xdr:rowOff>100853</xdr:rowOff>
    </xdr:from>
    <xdr:to>
      <xdr:col>23</xdr:col>
      <xdr:colOff>96371</xdr:colOff>
      <xdr:row>18</xdr:row>
      <xdr:rowOff>67236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F884E4A5-7B1A-A0B9-D4FB-3F1DB933ABBA}"/>
            </a:ext>
          </a:extLst>
        </xdr:cNvPr>
        <xdr:cNvGrpSpPr/>
      </xdr:nvGrpSpPr>
      <xdr:grpSpPr>
        <a:xfrm>
          <a:off x="9460193" y="1702734"/>
          <a:ext cx="5831354" cy="2102971"/>
          <a:chOff x="9486902" y="1687607"/>
          <a:chExt cx="5759823" cy="2061883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B6D49984-18A7-4C03-B963-31BFA2B54C57}"/>
              </a:ext>
            </a:extLst>
          </xdr:cNvPr>
          <xdr:cNvGrpSpPr/>
        </xdr:nvGrpSpPr>
        <xdr:grpSpPr>
          <a:xfrm>
            <a:off x="9486902" y="1687607"/>
            <a:ext cx="5759823" cy="2061883"/>
            <a:chOff x="2991971" y="1512794"/>
            <a:chExt cx="5759823" cy="2061883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9EC7C44E-4E86-63AD-921C-DA13546B6CC9}"/>
                </a:ext>
              </a:extLst>
            </xdr:cNvPr>
            <xdr:cNvSpPr/>
          </xdr:nvSpPr>
          <xdr:spPr>
            <a:xfrm>
              <a:off x="3003176" y="1524000"/>
              <a:ext cx="5726206" cy="2050677"/>
            </a:xfrm>
            <a:prstGeom prst="roundRect">
              <a:avLst>
                <a:gd name="adj" fmla="val 4099"/>
              </a:avLst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91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832FC451-DE28-36DD-76E1-24ED466AB18D}"/>
                </a:ext>
              </a:extLst>
            </xdr:cNvPr>
            <xdr:cNvSpPr/>
          </xdr:nvSpPr>
          <xdr:spPr>
            <a:xfrm>
              <a:off x="4908176" y="2349657"/>
              <a:ext cx="3821207" cy="829235"/>
            </a:xfrm>
            <a:prstGeom prst="roundRect">
              <a:avLst>
                <a:gd name="adj" fmla="val 4099"/>
              </a:avLst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fld id="{9D22C6F7-C4B6-4336-91F5-72C31CF162EB}" type="TxLink">
                <a:rPr lang="en-US" sz="45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 R$ 1.140,00 </a:t>
              </a:fld>
              <a:endParaRPr lang="pt-BR" sz="4500">
                <a:solidFill>
                  <a:srgbClr val="2AE6B1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FF959AC2-5380-8938-2156-F0D3C2A0FF7E}"/>
                </a:ext>
              </a:extLst>
            </xdr:cNvPr>
            <xdr:cNvSpPr/>
          </xdr:nvSpPr>
          <xdr:spPr>
            <a:xfrm>
              <a:off x="2991971" y="1512794"/>
              <a:ext cx="5759823" cy="515471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500" b="1"/>
                <a:t>TOTAL</a:t>
              </a:r>
              <a:r>
                <a:rPr lang="pt-BR" sz="1500" b="1" baseline="0"/>
                <a:t> SUBSCRIPTIONS MINECRAFT SEASON PASS</a:t>
              </a:r>
              <a:endParaRPr lang="pt-BR" sz="1500" b="1"/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C93B8297-6D18-4E2C-AADF-BAFB4401FA6E}"/>
              </a:ext>
            </a:extLst>
          </xdr:cNvPr>
          <xdr:cNvGrpSpPr/>
        </xdr:nvGrpSpPr>
        <xdr:grpSpPr>
          <a:xfrm>
            <a:off x="9867902" y="2449607"/>
            <a:ext cx="1549476" cy="752476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9E8809E5-9846-26AF-C714-04E3A1E186A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FE4B83DE-FE36-E57A-AA84-EC5042A0C0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219636</xdr:colOff>
      <xdr:row>20</xdr:row>
      <xdr:rowOff>96371</xdr:rowOff>
    </xdr:from>
    <xdr:to>
      <xdr:col>23</xdr:col>
      <xdr:colOff>123265</xdr:colOff>
      <xdr:row>47</xdr:row>
      <xdr:rowOff>11205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2F2D50B-5EBF-0805-906B-68C79AB06253}"/>
            </a:ext>
          </a:extLst>
        </xdr:cNvPr>
        <xdr:cNvGrpSpPr/>
      </xdr:nvGrpSpPr>
      <xdr:grpSpPr>
        <a:xfrm>
          <a:off x="2725458" y="4220136"/>
          <a:ext cx="12596158" cy="5162362"/>
          <a:chOff x="2718548" y="4141695"/>
          <a:chExt cx="12443011" cy="5058334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B20CED85-0B32-5CF9-7F28-954E36177F2A}"/>
              </a:ext>
            </a:extLst>
          </xdr:cNvPr>
          <xdr:cNvGrpSpPr/>
        </xdr:nvGrpSpPr>
        <xdr:grpSpPr>
          <a:xfrm>
            <a:off x="2737737" y="4158782"/>
            <a:ext cx="12401410" cy="5041247"/>
            <a:chOff x="2881312" y="1762124"/>
            <a:chExt cx="5119687" cy="3167063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860BCDC3-14D3-11B3-1356-4C1CC79F974D}"/>
                </a:ext>
              </a:extLst>
            </xdr:cNvPr>
            <xdr:cNvSpPr/>
          </xdr:nvSpPr>
          <xdr:spPr>
            <a:xfrm>
              <a:off x="2881312" y="1762124"/>
              <a:ext cx="5119687" cy="3167063"/>
            </a:xfrm>
            <a:prstGeom prst="roundRect">
              <a:avLst>
                <a:gd name="adj" fmla="val 2005"/>
              </a:avLst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E0F4691-97B3-4B30-8C8D-A81F2CD72D6C}"/>
                </a:ext>
              </a:extLst>
            </xdr:cNvPr>
            <xdr:cNvGraphicFramePr>
              <a:graphicFrameLocks/>
            </xdr:cNvGraphicFramePr>
          </xdr:nvGraphicFramePr>
          <xdr:xfrm>
            <a:off x="3102769" y="1964532"/>
            <a:ext cx="4572001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5922BD1A-528A-44E2-8E13-1F6DBBFFBBA2}"/>
              </a:ext>
            </a:extLst>
          </xdr:cNvPr>
          <xdr:cNvSpPr/>
        </xdr:nvSpPr>
        <xdr:spPr>
          <a:xfrm>
            <a:off x="2718548" y="4141695"/>
            <a:ext cx="12443011" cy="515471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500" b="1"/>
              <a:t>TOTAL</a:t>
            </a:r>
            <a:r>
              <a:rPr lang="pt-BR" sz="1500" b="1" baseline="0"/>
              <a:t> SUBSCRIPTIONS XBOX GAME PASS</a:t>
            </a:r>
            <a:endParaRPr lang="pt-BR" sz="1500" b="1"/>
          </a:p>
        </xdr:txBody>
      </xdr:sp>
    </xdr:grpSp>
    <xdr:clientData/>
  </xdr:twoCellAnchor>
  <xdr:twoCellAnchor editAs="absolute">
    <xdr:from>
      <xdr:col>0</xdr:col>
      <xdr:colOff>762000</xdr:colOff>
      <xdr:row>0</xdr:row>
      <xdr:rowOff>156883</xdr:rowOff>
    </xdr:from>
    <xdr:to>
      <xdr:col>0</xdr:col>
      <xdr:colOff>1457325</xdr:colOff>
      <xdr:row>3</xdr:row>
      <xdr:rowOff>157443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5C3DB404-C7A1-457E-A66C-A672D1C77E85}"/>
            </a:ext>
          </a:extLst>
        </xdr:cNvPr>
        <xdr:cNvSpPr/>
      </xdr:nvSpPr>
      <xdr:spPr>
        <a:xfrm>
          <a:off x="762000" y="15688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11206</xdr:colOff>
      <xdr:row>3</xdr:row>
      <xdr:rowOff>224117</xdr:rowOff>
    </xdr:from>
    <xdr:to>
      <xdr:col>1</xdr:col>
      <xdr:colOff>11205</xdr:colOff>
      <xdr:row>4</xdr:row>
      <xdr:rowOff>145675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20E78D45-B087-1498-0E4F-90B95776FFA5}"/>
            </a:ext>
          </a:extLst>
        </xdr:cNvPr>
        <xdr:cNvSpPr/>
      </xdr:nvSpPr>
      <xdr:spPr>
        <a:xfrm>
          <a:off x="11206" y="918882"/>
          <a:ext cx="2263587" cy="22411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bg1"/>
              </a:solidFill>
            </a:rPr>
            <a:t>&gt; bem</a:t>
          </a:r>
          <a:r>
            <a:rPr lang="pt-BR" sz="1200" b="1" baseline="0">
              <a:solidFill>
                <a:schemeClr val="bg1"/>
              </a:solidFill>
            </a:rPr>
            <a:t> vindo, João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134470</xdr:colOff>
      <xdr:row>5</xdr:row>
      <xdr:rowOff>22412</xdr:rowOff>
    </xdr:from>
    <xdr:to>
      <xdr:col>9</xdr:col>
      <xdr:colOff>494341</xdr:colOff>
      <xdr:row>6</xdr:row>
      <xdr:rowOff>61312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5B4C52FB-71A6-473D-A208-2F4FD3C01472}"/>
            </a:ext>
          </a:extLst>
        </xdr:cNvPr>
        <xdr:cNvSpPr/>
      </xdr:nvSpPr>
      <xdr:spPr>
        <a:xfrm>
          <a:off x="2633382" y="1210236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n PM Rangel" refreshedDate="46035.702546180553" createdVersion="8" refreshedVersion="8" minRefreshableVersion="3" recordCount="295" xr:uid="{7D9E10F1-5298-46A0-9EF1-7A6D173D613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713545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n v="30"/>
    <s v="Yes"/>
    <n v="20"/>
    <n v="5"/>
    <n v="60"/>
  </r>
  <r>
    <n v="3232"/>
    <x v="1"/>
    <x v="1"/>
    <d v="2024-01-15T00:00:00"/>
    <x v="1"/>
    <x v="1"/>
    <x v="1"/>
    <s v="No"/>
    <s v="-"/>
    <s v="No"/>
    <n v="0"/>
    <n v="0"/>
    <n v="5"/>
  </r>
  <r>
    <n v="3233"/>
    <x v="2"/>
    <x v="2"/>
    <d v="2024-02-10T00:00:00"/>
    <x v="0"/>
    <x v="2"/>
    <x v="2"/>
    <s v="No"/>
    <s v="-"/>
    <s v="Yes"/>
    <n v="20"/>
    <n v="10"/>
    <n v="20"/>
  </r>
  <r>
    <n v="3234"/>
    <x v="3"/>
    <x v="0"/>
    <d v="2024-02-20T00:00:00"/>
    <x v="1"/>
    <x v="0"/>
    <x v="0"/>
    <s v="Yes"/>
    <n v="30"/>
    <s v="Yes"/>
    <n v="20"/>
    <n v="3"/>
    <n v="62"/>
  </r>
  <r>
    <n v="3235"/>
    <x v="4"/>
    <x v="1"/>
    <d v="2024-03-05T00:00:00"/>
    <x v="0"/>
    <x v="1"/>
    <x v="0"/>
    <s v="No"/>
    <s v="-"/>
    <s v="No"/>
    <n v="0"/>
    <n v="1"/>
    <n v="4"/>
  </r>
  <r>
    <n v="3236"/>
    <x v="5"/>
    <x v="2"/>
    <d v="2024-03-02T00:00:00"/>
    <x v="1"/>
    <x v="2"/>
    <x v="0"/>
    <s v="No"/>
    <s v="-"/>
    <s v="Yes"/>
    <n v="20"/>
    <n v="2"/>
    <n v="28"/>
  </r>
  <r>
    <n v="3237"/>
    <x v="6"/>
    <x v="0"/>
    <d v="2024-03-03T00:00:00"/>
    <x v="0"/>
    <x v="0"/>
    <x v="2"/>
    <s v="Yes"/>
    <n v="30"/>
    <s v="Yes"/>
    <n v="20"/>
    <n v="10"/>
    <n v="55"/>
  </r>
  <r>
    <n v="3238"/>
    <x v="7"/>
    <x v="1"/>
    <d v="2024-03-04T00:00:00"/>
    <x v="0"/>
    <x v="1"/>
    <x v="1"/>
    <s v="No"/>
    <s v="-"/>
    <s v="No"/>
    <n v="0"/>
    <n v="0"/>
    <n v="5"/>
  </r>
  <r>
    <n v="3239"/>
    <x v="8"/>
    <x v="0"/>
    <d v="2024-03-05T00:00:00"/>
    <x v="1"/>
    <x v="0"/>
    <x v="0"/>
    <s v="Yes"/>
    <n v="30"/>
    <s v="Yes"/>
    <n v="20"/>
    <n v="5"/>
    <n v="60"/>
  </r>
  <r>
    <n v="3240"/>
    <x v="9"/>
    <x v="2"/>
    <d v="2024-03-06T00:00:00"/>
    <x v="0"/>
    <x v="2"/>
    <x v="2"/>
    <s v="No"/>
    <s v="-"/>
    <s v="Yes"/>
    <n v="20"/>
    <n v="15"/>
    <n v="15"/>
  </r>
  <r>
    <n v="3241"/>
    <x v="10"/>
    <x v="1"/>
    <d v="2024-03-07T00:00:00"/>
    <x v="1"/>
    <x v="1"/>
    <x v="0"/>
    <s v="No"/>
    <s v="-"/>
    <s v="No"/>
    <n v="0"/>
    <n v="1"/>
    <n v="4"/>
  </r>
  <r>
    <n v="3242"/>
    <x v="11"/>
    <x v="0"/>
    <d v="2024-03-08T00:00:00"/>
    <x v="0"/>
    <x v="0"/>
    <x v="1"/>
    <s v="Yes"/>
    <n v="30"/>
    <s v="Yes"/>
    <n v="20"/>
    <n v="20"/>
    <n v="45"/>
  </r>
  <r>
    <n v="3243"/>
    <x v="12"/>
    <x v="2"/>
    <d v="2024-03-09T00:00:00"/>
    <x v="1"/>
    <x v="2"/>
    <x v="0"/>
    <s v="No"/>
    <s v="-"/>
    <s v="Yes"/>
    <n v="20"/>
    <n v="10"/>
    <n v="20"/>
  </r>
  <r>
    <n v="3244"/>
    <x v="13"/>
    <x v="1"/>
    <d v="2024-03-10T00:00:00"/>
    <x v="0"/>
    <x v="1"/>
    <x v="2"/>
    <s v="No"/>
    <s v="-"/>
    <s v="No"/>
    <n v="0"/>
    <n v="0"/>
    <n v="5"/>
  </r>
  <r>
    <n v="3245"/>
    <x v="14"/>
    <x v="0"/>
    <d v="2024-03-11T00:00:00"/>
    <x v="1"/>
    <x v="0"/>
    <x v="0"/>
    <s v="Yes"/>
    <n v="30"/>
    <s v="Yes"/>
    <n v="20"/>
    <n v="8"/>
    <n v="57"/>
  </r>
  <r>
    <n v="3246"/>
    <x v="15"/>
    <x v="2"/>
    <d v="2024-03-12T00:00:00"/>
    <x v="0"/>
    <x v="2"/>
    <x v="1"/>
    <s v="No"/>
    <s v="-"/>
    <s v="Yes"/>
    <n v="20"/>
    <n v="12"/>
    <n v="18"/>
  </r>
  <r>
    <n v="3247"/>
    <x v="16"/>
    <x v="1"/>
    <d v="2024-03-13T00:00:00"/>
    <x v="1"/>
    <x v="1"/>
    <x v="0"/>
    <s v="No"/>
    <s v="-"/>
    <s v="No"/>
    <n v="0"/>
    <n v="2"/>
    <n v="3"/>
  </r>
  <r>
    <n v="3248"/>
    <x v="17"/>
    <x v="0"/>
    <d v="2024-03-14T00:00:00"/>
    <x v="0"/>
    <x v="0"/>
    <x v="2"/>
    <s v="Yes"/>
    <n v="30"/>
    <s v="Yes"/>
    <n v="20"/>
    <n v="7"/>
    <n v="58"/>
  </r>
  <r>
    <n v="3249"/>
    <x v="18"/>
    <x v="2"/>
    <d v="2024-03-15T00:00:00"/>
    <x v="1"/>
    <x v="2"/>
    <x v="0"/>
    <s v="No"/>
    <s v="-"/>
    <s v="Yes"/>
    <n v="20"/>
    <n v="5"/>
    <n v="25"/>
  </r>
  <r>
    <n v="3250"/>
    <x v="19"/>
    <x v="1"/>
    <d v="2024-03-16T00:00:00"/>
    <x v="0"/>
    <x v="1"/>
    <x v="1"/>
    <s v="No"/>
    <s v="-"/>
    <s v="No"/>
    <n v="0"/>
    <n v="0"/>
    <n v="5"/>
  </r>
  <r>
    <n v="3251"/>
    <x v="20"/>
    <x v="0"/>
    <d v="2024-03-17T00:00:00"/>
    <x v="1"/>
    <x v="0"/>
    <x v="0"/>
    <s v="Yes"/>
    <n v="30"/>
    <s v="Yes"/>
    <n v="20"/>
    <n v="3"/>
    <n v="62"/>
  </r>
  <r>
    <n v="3252"/>
    <x v="21"/>
    <x v="2"/>
    <d v="2024-03-18T00:00:00"/>
    <x v="0"/>
    <x v="2"/>
    <x v="2"/>
    <s v="No"/>
    <s v="-"/>
    <s v="Yes"/>
    <n v="20"/>
    <n v="15"/>
    <n v="15"/>
  </r>
  <r>
    <n v="3253"/>
    <x v="22"/>
    <x v="1"/>
    <d v="2024-03-19T00:00:00"/>
    <x v="1"/>
    <x v="1"/>
    <x v="0"/>
    <s v="No"/>
    <s v="-"/>
    <s v="No"/>
    <n v="0"/>
    <n v="1"/>
    <n v="4"/>
  </r>
  <r>
    <n v="3254"/>
    <x v="23"/>
    <x v="0"/>
    <d v="2024-03-20T00:00:00"/>
    <x v="0"/>
    <x v="0"/>
    <x v="1"/>
    <s v="Yes"/>
    <n v="30"/>
    <s v="Yes"/>
    <n v="20"/>
    <n v="20"/>
    <n v="45"/>
  </r>
  <r>
    <n v="3255"/>
    <x v="24"/>
    <x v="2"/>
    <d v="2024-03-21T00:00:00"/>
    <x v="1"/>
    <x v="2"/>
    <x v="0"/>
    <s v="No"/>
    <s v="-"/>
    <s v="Yes"/>
    <n v="20"/>
    <n v="10"/>
    <n v="20"/>
  </r>
  <r>
    <n v="3256"/>
    <x v="25"/>
    <x v="1"/>
    <d v="2024-03-22T00:00:00"/>
    <x v="0"/>
    <x v="1"/>
    <x v="2"/>
    <s v="No"/>
    <s v="-"/>
    <s v="No"/>
    <n v="0"/>
    <n v="0"/>
    <n v="5"/>
  </r>
  <r>
    <n v="3257"/>
    <x v="26"/>
    <x v="0"/>
    <d v="2024-03-23T00:00:00"/>
    <x v="1"/>
    <x v="0"/>
    <x v="0"/>
    <s v="Yes"/>
    <n v="30"/>
    <s v="Yes"/>
    <n v="20"/>
    <n v="5"/>
    <n v="60"/>
  </r>
  <r>
    <n v="3258"/>
    <x v="27"/>
    <x v="2"/>
    <d v="2024-03-24T00:00:00"/>
    <x v="0"/>
    <x v="2"/>
    <x v="1"/>
    <s v="No"/>
    <s v="-"/>
    <s v="Yes"/>
    <n v="20"/>
    <n v="15"/>
    <n v="15"/>
  </r>
  <r>
    <n v="3259"/>
    <x v="28"/>
    <x v="1"/>
    <d v="2024-03-25T00:00:00"/>
    <x v="1"/>
    <x v="1"/>
    <x v="0"/>
    <s v="No"/>
    <s v="-"/>
    <s v="No"/>
    <n v="0"/>
    <n v="1"/>
    <n v="4"/>
  </r>
  <r>
    <n v="3260"/>
    <x v="29"/>
    <x v="0"/>
    <d v="2024-03-26T00:00:00"/>
    <x v="0"/>
    <x v="0"/>
    <x v="2"/>
    <s v="Yes"/>
    <n v="30"/>
    <s v="Yes"/>
    <n v="20"/>
    <n v="7"/>
    <n v="58"/>
  </r>
  <r>
    <n v="3261"/>
    <x v="30"/>
    <x v="2"/>
    <d v="2024-03-27T00:00:00"/>
    <x v="1"/>
    <x v="2"/>
    <x v="0"/>
    <s v="No"/>
    <s v="-"/>
    <s v="Yes"/>
    <n v="20"/>
    <n v="10"/>
    <n v="20"/>
  </r>
  <r>
    <n v="3262"/>
    <x v="31"/>
    <x v="1"/>
    <d v="2024-03-28T00:00:00"/>
    <x v="0"/>
    <x v="1"/>
    <x v="1"/>
    <s v="No"/>
    <s v="-"/>
    <s v="No"/>
    <n v="0"/>
    <n v="0"/>
    <n v="5"/>
  </r>
  <r>
    <n v="3263"/>
    <x v="32"/>
    <x v="0"/>
    <d v="2024-03-29T00:00:00"/>
    <x v="1"/>
    <x v="0"/>
    <x v="0"/>
    <s v="Yes"/>
    <n v="30"/>
    <s v="Yes"/>
    <n v="20"/>
    <n v="3"/>
    <n v="62"/>
  </r>
  <r>
    <n v="3264"/>
    <x v="33"/>
    <x v="2"/>
    <d v="2024-03-30T00:00:00"/>
    <x v="0"/>
    <x v="2"/>
    <x v="2"/>
    <s v="No"/>
    <s v="-"/>
    <s v="Yes"/>
    <n v="20"/>
    <n v="15"/>
    <n v="15"/>
  </r>
  <r>
    <n v="3265"/>
    <x v="34"/>
    <x v="1"/>
    <d v="2024-03-31T00:00:00"/>
    <x v="1"/>
    <x v="1"/>
    <x v="0"/>
    <s v="No"/>
    <s v="-"/>
    <s v="No"/>
    <n v="0"/>
    <n v="1"/>
    <n v="4"/>
  </r>
  <r>
    <n v="3266"/>
    <x v="35"/>
    <x v="1"/>
    <d v="2024-04-01T00:00:00"/>
    <x v="0"/>
    <x v="1"/>
    <x v="0"/>
    <s v="No"/>
    <s v="-"/>
    <s v="No"/>
    <n v="0"/>
    <n v="0"/>
    <n v="5"/>
  </r>
  <r>
    <n v="3267"/>
    <x v="36"/>
    <x v="0"/>
    <d v="2024-04-02T00:00:00"/>
    <x v="1"/>
    <x v="0"/>
    <x v="2"/>
    <s v="Yes"/>
    <n v="30"/>
    <s v="Yes"/>
    <n v="20"/>
    <n v="7"/>
    <n v="58"/>
  </r>
  <r>
    <n v="3268"/>
    <x v="37"/>
    <x v="2"/>
    <d v="2024-04-03T00:00:00"/>
    <x v="0"/>
    <x v="2"/>
    <x v="1"/>
    <s v="No"/>
    <s v="-"/>
    <s v="Yes"/>
    <n v="20"/>
    <n v="10"/>
    <n v="20"/>
  </r>
  <r>
    <n v="3269"/>
    <x v="38"/>
    <x v="1"/>
    <d v="2024-04-04T00:00:00"/>
    <x v="1"/>
    <x v="1"/>
    <x v="2"/>
    <s v="No"/>
    <s v="-"/>
    <s v="No"/>
    <n v="0"/>
    <n v="1"/>
    <n v="4"/>
  </r>
  <r>
    <n v="3270"/>
    <x v="39"/>
    <x v="0"/>
    <d v="2024-04-05T00:00:00"/>
    <x v="0"/>
    <x v="0"/>
    <x v="0"/>
    <s v="Yes"/>
    <n v="30"/>
    <s v="Yes"/>
    <n v="20"/>
    <n v="15"/>
    <n v="50"/>
  </r>
  <r>
    <n v="3271"/>
    <x v="40"/>
    <x v="2"/>
    <d v="2024-04-06T00:00:00"/>
    <x v="1"/>
    <x v="2"/>
    <x v="0"/>
    <s v="No"/>
    <s v="-"/>
    <s v="Yes"/>
    <n v="20"/>
    <n v="5"/>
    <n v="25"/>
  </r>
  <r>
    <n v="3272"/>
    <x v="41"/>
    <x v="1"/>
    <d v="2024-04-07T00:00:00"/>
    <x v="0"/>
    <x v="1"/>
    <x v="1"/>
    <s v="No"/>
    <s v="-"/>
    <s v="No"/>
    <n v="0"/>
    <n v="0"/>
    <n v="5"/>
  </r>
  <r>
    <n v="3273"/>
    <x v="42"/>
    <x v="0"/>
    <d v="2024-04-08T00:00:00"/>
    <x v="1"/>
    <x v="0"/>
    <x v="2"/>
    <s v="Yes"/>
    <n v="30"/>
    <s v="Yes"/>
    <n v="20"/>
    <n v="20"/>
    <n v="45"/>
  </r>
  <r>
    <n v="3274"/>
    <x v="43"/>
    <x v="2"/>
    <d v="2024-04-09T00:00:00"/>
    <x v="0"/>
    <x v="2"/>
    <x v="2"/>
    <s v="No"/>
    <s v="-"/>
    <s v="Yes"/>
    <n v="20"/>
    <n v="12"/>
    <n v="18"/>
  </r>
  <r>
    <n v="3275"/>
    <x v="44"/>
    <x v="1"/>
    <d v="2024-04-10T00:00:00"/>
    <x v="1"/>
    <x v="1"/>
    <x v="0"/>
    <s v="No"/>
    <s v="-"/>
    <s v="No"/>
    <n v="0"/>
    <n v="2"/>
    <n v="3"/>
  </r>
  <r>
    <n v="3276"/>
    <x v="45"/>
    <x v="0"/>
    <d v="2024-04-11T00:00:00"/>
    <x v="0"/>
    <x v="0"/>
    <x v="1"/>
    <s v="Yes"/>
    <n v="30"/>
    <s v="Yes"/>
    <n v="20"/>
    <n v="5"/>
    <n v="60"/>
  </r>
  <r>
    <n v="3277"/>
    <x v="46"/>
    <x v="2"/>
    <d v="2024-04-12T00:00:00"/>
    <x v="1"/>
    <x v="2"/>
    <x v="0"/>
    <s v="No"/>
    <s v="-"/>
    <s v="Yes"/>
    <n v="20"/>
    <n v="10"/>
    <n v="20"/>
  </r>
  <r>
    <n v="3278"/>
    <x v="47"/>
    <x v="1"/>
    <d v="2024-04-13T00:00:00"/>
    <x v="0"/>
    <x v="1"/>
    <x v="2"/>
    <s v="No"/>
    <s v="-"/>
    <s v="No"/>
    <n v="0"/>
    <n v="0"/>
    <n v="5"/>
  </r>
  <r>
    <n v="3279"/>
    <x v="48"/>
    <x v="0"/>
    <d v="2024-04-14T00:00:00"/>
    <x v="1"/>
    <x v="0"/>
    <x v="0"/>
    <s v="Yes"/>
    <n v="30"/>
    <s v="Yes"/>
    <n v="20"/>
    <n v="3"/>
    <n v="62"/>
  </r>
  <r>
    <n v="3280"/>
    <x v="49"/>
    <x v="2"/>
    <d v="2024-04-15T00:00:00"/>
    <x v="0"/>
    <x v="2"/>
    <x v="1"/>
    <s v="No"/>
    <s v="-"/>
    <s v="Yes"/>
    <n v="20"/>
    <n v="15"/>
    <n v="15"/>
  </r>
  <r>
    <n v="3281"/>
    <x v="50"/>
    <x v="1"/>
    <d v="2024-04-16T00:00:00"/>
    <x v="1"/>
    <x v="1"/>
    <x v="0"/>
    <s v="No"/>
    <s v="-"/>
    <s v="No"/>
    <n v="0"/>
    <n v="1"/>
    <n v="4"/>
  </r>
  <r>
    <n v="3282"/>
    <x v="51"/>
    <x v="0"/>
    <d v="2024-04-17T00:00:00"/>
    <x v="0"/>
    <x v="0"/>
    <x v="2"/>
    <s v="Yes"/>
    <n v="30"/>
    <s v="Yes"/>
    <n v="20"/>
    <n v="7"/>
    <n v="58"/>
  </r>
  <r>
    <n v="3283"/>
    <x v="52"/>
    <x v="2"/>
    <d v="2024-04-18T00:00:00"/>
    <x v="1"/>
    <x v="2"/>
    <x v="0"/>
    <s v="No"/>
    <s v="-"/>
    <s v="Yes"/>
    <n v="20"/>
    <n v="10"/>
    <n v="20"/>
  </r>
  <r>
    <n v="3284"/>
    <x v="53"/>
    <x v="1"/>
    <d v="2024-04-19T00:00:00"/>
    <x v="0"/>
    <x v="1"/>
    <x v="1"/>
    <s v="No"/>
    <s v="-"/>
    <s v="No"/>
    <n v="0"/>
    <n v="0"/>
    <n v="5"/>
  </r>
  <r>
    <n v="3285"/>
    <x v="54"/>
    <x v="0"/>
    <d v="2024-04-20T00:00:00"/>
    <x v="1"/>
    <x v="0"/>
    <x v="0"/>
    <s v="Yes"/>
    <n v="30"/>
    <s v="Yes"/>
    <n v="20"/>
    <n v="20"/>
    <n v="45"/>
  </r>
  <r>
    <n v="3286"/>
    <x v="55"/>
    <x v="2"/>
    <d v="2024-04-21T00:00:00"/>
    <x v="0"/>
    <x v="2"/>
    <x v="2"/>
    <s v="No"/>
    <s v="-"/>
    <s v="Yes"/>
    <n v="20"/>
    <n v="15"/>
    <n v="15"/>
  </r>
  <r>
    <n v="3287"/>
    <x v="56"/>
    <x v="1"/>
    <d v="2024-04-22T00:00:00"/>
    <x v="1"/>
    <x v="1"/>
    <x v="0"/>
    <s v="No"/>
    <s v="-"/>
    <s v="No"/>
    <n v="0"/>
    <n v="1"/>
    <n v="4"/>
  </r>
  <r>
    <n v="3288"/>
    <x v="57"/>
    <x v="0"/>
    <d v="2024-04-23T00:00:00"/>
    <x v="0"/>
    <x v="0"/>
    <x v="1"/>
    <s v="Yes"/>
    <n v="30"/>
    <s v="Yes"/>
    <n v="20"/>
    <n v="3"/>
    <n v="62"/>
  </r>
  <r>
    <n v="3289"/>
    <x v="58"/>
    <x v="2"/>
    <d v="2024-04-24T00:00:00"/>
    <x v="1"/>
    <x v="2"/>
    <x v="0"/>
    <s v="No"/>
    <s v="-"/>
    <s v="Yes"/>
    <n v="20"/>
    <n v="10"/>
    <n v="20"/>
  </r>
  <r>
    <n v="3290"/>
    <x v="59"/>
    <x v="1"/>
    <d v="2024-04-25T00:00:00"/>
    <x v="0"/>
    <x v="1"/>
    <x v="2"/>
    <s v="No"/>
    <s v="-"/>
    <s v="No"/>
    <n v="0"/>
    <n v="0"/>
    <n v="5"/>
  </r>
  <r>
    <n v="3291"/>
    <x v="60"/>
    <x v="0"/>
    <d v="2024-04-26T00:00:00"/>
    <x v="1"/>
    <x v="0"/>
    <x v="0"/>
    <s v="Yes"/>
    <n v="30"/>
    <s v="Yes"/>
    <n v="20"/>
    <n v="5"/>
    <n v="60"/>
  </r>
  <r>
    <n v="3292"/>
    <x v="61"/>
    <x v="2"/>
    <d v="2024-04-27T00:00:00"/>
    <x v="0"/>
    <x v="2"/>
    <x v="1"/>
    <s v="No"/>
    <s v="-"/>
    <s v="Yes"/>
    <n v="20"/>
    <n v="15"/>
    <n v="15"/>
  </r>
  <r>
    <n v="3293"/>
    <x v="62"/>
    <x v="1"/>
    <d v="2024-04-28T00:00:00"/>
    <x v="1"/>
    <x v="1"/>
    <x v="0"/>
    <s v="No"/>
    <s v="-"/>
    <s v="No"/>
    <n v="0"/>
    <n v="1"/>
    <n v="4"/>
  </r>
  <r>
    <n v="3294"/>
    <x v="63"/>
    <x v="0"/>
    <d v="2024-04-29T00:00:00"/>
    <x v="0"/>
    <x v="0"/>
    <x v="2"/>
    <s v="Yes"/>
    <n v="30"/>
    <s v="Yes"/>
    <n v="20"/>
    <n v="20"/>
    <n v="45"/>
  </r>
  <r>
    <n v="3295"/>
    <x v="64"/>
    <x v="2"/>
    <d v="2024-04-30T00:00:00"/>
    <x v="1"/>
    <x v="2"/>
    <x v="0"/>
    <s v="No"/>
    <s v="-"/>
    <s v="Yes"/>
    <n v="20"/>
    <n v="5"/>
    <n v="25"/>
  </r>
  <r>
    <n v="3296"/>
    <x v="65"/>
    <x v="1"/>
    <d v="2024-05-01T00:00:00"/>
    <x v="1"/>
    <x v="1"/>
    <x v="0"/>
    <s v="No"/>
    <s v="-"/>
    <s v="No"/>
    <n v="0"/>
    <n v="0"/>
    <n v="5"/>
  </r>
  <r>
    <n v="3297"/>
    <x v="66"/>
    <x v="0"/>
    <d v="2024-05-02T00:00:00"/>
    <x v="0"/>
    <x v="0"/>
    <x v="2"/>
    <s v="Yes"/>
    <n v="30"/>
    <s v="Yes"/>
    <n v="20"/>
    <n v="7"/>
    <n v="58"/>
  </r>
  <r>
    <n v="3298"/>
    <x v="67"/>
    <x v="2"/>
    <d v="2024-05-03T00:00:00"/>
    <x v="1"/>
    <x v="2"/>
    <x v="1"/>
    <s v="No"/>
    <s v="-"/>
    <s v="Yes"/>
    <n v="20"/>
    <n v="10"/>
    <n v="20"/>
  </r>
  <r>
    <n v="3299"/>
    <x v="68"/>
    <x v="1"/>
    <d v="2024-05-04T00:00:00"/>
    <x v="0"/>
    <x v="1"/>
    <x v="2"/>
    <s v="No"/>
    <s v="-"/>
    <s v="No"/>
    <n v="0"/>
    <n v="1"/>
    <n v="4"/>
  </r>
  <r>
    <n v="3300"/>
    <x v="69"/>
    <x v="0"/>
    <d v="2024-05-05T00:00:00"/>
    <x v="1"/>
    <x v="0"/>
    <x v="0"/>
    <s v="Yes"/>
    <n v="30"/>
    <s v="Yes"/>
    <n v="20"/>
    <n v="15"/>
    <n v="50"/>
  </r>
  <r>
    <n v="3301"/>
    <x v="70"/>
    <x v="2"/>
    <d v="2024-05-06T00:00:00"/>
    <x v="0"/>
    <x v="2"/>
    <x v="0"/>
    <s v="No"/>
    <s v="-"/>
    <s v="Yes"/>
    <n v="20"/>
    <n v="5"/>
    <n v="25"/>
  </r>
  <r>
    <n v="3302"/>
    <x v="71"/>
    <x v="1"/>
    <d v="2024-05-07T00:00:00"/>
    <x v="1"/>
    <x v="1"/>
    <x v="1"/>
    <s v="No"/>
    <s v="-"/>
    <s v="No"/>
    <n v="0"/>
    <n v="0"/>
    <n v="5"/>
  </r>
  <r>
    <n v="3303"/>
    <x v="72"/>
    <x v="0"/>
    <d v="2024-05-08T00:00:00"/>
    <x v="0"/>
    <x v="0"/>
    <x v="2"/>
    <s v="Yes"/>
    <n v="30"/>
    <s v="Yes"/>
    <n v="20"/>
    <n v="20"/>
    <n v="45"/>
  </r>
  <r>
    <n v="3304"/>
    <x v="73"/>
    <x v="2"/>
    <d v="2024-05-09T00:00:00"/>
    <x v="1"/>
    <x v="2"/>
    <x v="2"/>
    <s v="No"/>
    <s v="-"/>
    <s v="Yes"/>
    <n v="20"/>
    <n v="12"/>
    <n v="18"/>
  </r>
  <r>
    <n v="3305"/>
    <x v="74"/>
    <x v="1"/>
    <d v="2024-05-10T00:00:00"/>
    <x v="0"/>
    <x v="1"/>
    <x v="0"/>
    <s v="No"/>
    <s v="-"/>
    <s v="No"/>
    <n v="0"/>
    <n v="2"/>
    <n v="3"/>
  </r>
  <r>
    <n v="3306"/>
    <x v="75"/>
    <x v="0"/>
    <d v="2024-05-11T00:00:00"/>
    <x v="1"/>
    <x v="0"/>
    <x v="1"/>
    <s v="Yes"/>
    <n v="30"/>
    <s v="Yes"/>
    <n v="20"/>
    <n v="5"/>
    <n v="60"/>
  </r>
  <r>
    <n v="3307"/>
    <x v="76"/>
    <x v="2"/>
    <d v="2024-05-12T00:00:00"/>
    <x v="0"/>
    <x v="2"/>
    <x v="0"/>
    <s v="No"/>
    <s v="-"/>
    <s v="Yes"/>
    <n v="20"/>
    <n v="10"/>
    <n v="20"/>
  </r>
  <r>
    <n v="3308"/>
    <x v="77"/>
    <x v="1"/>
    <d v="2024-05-13T00:00:00"/>
    <x v="1"/>
    <x v="1"/>
    <x v="2"/>
    <s v="No"/>
    <s v="-"/>
    <s v="No"/>
    <n v="0"/>
    <n v="0"/>
    <n v="5"/>
  </r>
  <r>
    <n v="3309"/>
    <x v="78"/>
    <x v="0"/>
    <d v="2024-05-14T00:00:00"/>
    <x v="0"/>
    <x v="0"/>
    <x v="0"/>
    <s v="Yes"/>
    <n v="30"/>
    <s v="Yes"/>
    <n v="20"/>
    <n v="3"/>
    <n v="62"/>
  </r>
  <r>
    <n v="3310"/>
    <x v="79"/>
    <x v="2"/>
    <d v="2024-05-15T00:00:00"/>
    <x v="1"/>
    <x v="2"/>
    <x v="1"/>
    <s v="No"/>
    <s v="-"/>
    <s v="Yes"/>
    <n v="20"/>
    <n v="15"/>
    <n v="15"/>
  </r>
  <r>
    <n v="3311"/>
    <x v="80"/>
    <x v="1"/>
    <d v="2024-05-16T00:00:00"/>
    <x v="0"/>
    <x v="1"/>
    <x v="0"/>
    <s v="No"/>
    <s v="-"/>
    <s v="No"/>
    <n v="0"/>
    <n v="1"/>
    <n v="4"/>
  </r>
  <r>
    <n v="3312"/>
    <x v="81"/>
    <x v="0"/>
    <d v="2024-05-17T00:00:00"/>
    <x v="1"/>
    <x v="0"/>
    <x v="2"/>
    <s v="Yes"/>
    <n v="30"/>
    <s v="Yes"/>
    <n v="20"/>
    <n v="7"/>
    <n v="58"/>
  </r>
  <r>
    <n v="3313"/>
    <x v="82"/>
    <x v="2"/>
    <d v="2024-05-18T00:00:00"/>
    <x v="0"/>
    <x v="2"/>
    <x v="0"/>
    <s v="No"/>
    <s v="-"/>
    <s v="Yes"/>
    <n v="20"/>
    <n v="10"/>
    <n v="20"/>
  </r>
  <r>
    <n v="3314"/>
    <x v="83"/>
    <x v="1"/>
    <d v="2024-05-19T00:00:00"/>
    <x v="1"/>
    <x v="1"/>
    <x v="1"/>
    <s v="No"/>
    <s v="-"/>
    <s v="No"/>
    <n v="0"/>
    <n v="0"/>
    <n v="5"/>
  </r>
  <r>
    <n v="3315"/>
    <x v="84"/>
    <x v="0"/>
    <d v="2024-05-20T00:00:00"/>
    <x v="0"/>
    <x v="0"/>
    <x v="0"/>
    <s v="Yes"/>
    <n v="30"/>
    <s v="Yes"/>
    <n v="20"/>
    <n v="20"/>
    <n v="45"/>
  </r>
  <r>
    <n v="3316"/>
    <x v="85"/>
    <x v="2"/>
    <d v="2024-05-21T00:00:00"/>
    <x v="1"/>
    <x v="2"/>
    <x v="2"/>
    <s v="No"/>
    <s v="-"/>
    <s v="Yes"/>
    <n v="20"/>
    <n v="15"/>
    <n v="15"/>
  </r>
  <r>
    <n v="3317"/>
    <x v="86"/>
    <x v="1"/>
    <d v="2024-05-22T00:00:00"/>
    <x v="0"/>
    <x v="1"/>
    <x v="0"/>
    <s v="No"/>
    <s v="-"/>
    <s v="No"/>
    <n v="0"/>
    <n v="1"/>
    <n v="4"/>
  </r>
  <r>
    <n v="3318"/>
    <x v="87"/>
    <x v="0"/>
    <d v="2024-05-23T00:00:00"/>
    <x v="1"/>
    <x v="0"/>
    <x v="1"/>
    <s v="Yes"/>
    <n v="30"/>
    <s v="Yes"/>
    <n v="20"/>
    <n v="3"/>
    <n v="62"/>
  </r>
  <r>
    <n v="3319"/>
    <x v="88"/>
    <x v="2"/>
    <d v="2024-05-24T00:00:00"/>
    <x v="0"/>
    <x v="2"/>
    <x v="0"/>
    <s v="No"/>
    <s v="-"/>
    <s v="Yes"/>
    <n v="20"/>
    <n v="10"/>
    <n v="20"/>
  </r>
  <r>
    <n v="3320"/>
    <x v="89"/>
    <x v="1"/>
    <d v="2024-05-25T00:00:00"/>
    <x v="1"/>
    <x v="1"/>
    <x v="2"/>
    <s v="No"/>
    <s v="-"/>
    <s v="No"/>
    <n v="0"/>
    <n v="0"/>
    <n v="5"/>
  </r>
  <r>
    <n v="3321"/>
    <x v="90"/>
    <x v="0"/>
    <d v="2024-05-26T00:00:00"/>
    <x v="0"/>
    <x v="0"/>
    <x v="0"/>
    <s v="Yes"/>
    <n v="30"/>
    <s v="Yes"/>
    <n v="20"/>
    <n v="5"/>
    <n v="60"/>
  </r>
  <r>
    <n v="3322"/>
    <x v="91"/>
    <x v="2"/>
    <d v="2024-05-27T00:00:00"/>
    <x v="1"/>
    <x v="2"/>
    <x v="1"/>
    <s v="No"/>
    <s v="-"/>
    <s v="Yes"/>
    <n v="20"/>
    <n v="15"/>
    <n v="15"/>
  </r>
  <r>
    <n v="3323"/>
    <x v="92"/>
    <x v="1"/>
    <d v="2024-05-28T00:00:00"/>
    <x v="0"/>
    <x v="1"/>
    <x v="0"/>
    <s v="No"/>
    <s v="-"/>
    <s v="No"/>
    <n v="0"/>
    <n v="1"/>
    <n v="4"/>
  </r>
  <r>
    <n v="3324"/>
    <x v="93"/>
    <x v="0"/>
    <d v="2024-05-29T00:00:00"/>
    <x v="1"/>
    <x v="0"/>
    <x v="2"/>
    <s v="Yes"/>
    <n v="30"/>
    <s v="Yes"/>
    <n v="20"/>
    <n v="20"/>
    <n v="45"/>
  </r>
  <r>
    <n v="3325"/>
    <x v="94"/>
    <x v="2"/>
    <d v="2024-05-30T00:00:00"/>
    <x v="0"/>
    <x v="2"/>
    <x v="2"/>
    <s v="No"/>
    <s v="-"/>
    <s v="Yes"/>
    <n v="20"/>
    <n v="15"/>
    <n v="15"/>
  </r>
  <r>
    <n v="3326"/>
    <x v="95"/>
    <x v="1"/>
    <d v="2024-05-31T00:00:00"/>
    <x v="1"/>
    <x v="1"/>
    <x v="1"/>
    <s v="No"/>
    <s v="-"/>
    <s v="No"/>
    <n v="0"/>
    <n v="0"/>
    <n v="5"/>
  </r>
  <r>
    <n v="3327"/>
    <x v="96"/>
    <x v="0"/>
    <d v="2024-06-01T00:00:00"/>
    <x v="0"/>
    <x v="0"/>
    <x v="0"/>
    <s v="Yes"/>
    <n v="30"/>
    <s v="Yes"/>
    <n v="20"/>
    <n v="7"/>
    <n v="58"/>
  </r>
  <r>
    <n v="3328"/>
    <x v="97"/>
    <x v="2"/>
    <d v="2024-06-02T00:00:00"/>
    <x v="1"/>
    <x v="2"/>
    <x v="1"/>
    <s v="No"/>
    <s v="-"/>
    <s v="Yes"/>
    <n v="20"/>
    <n v="10"/>
    <n v="20"/>
  </r>
  <r>
    <n v="3329"/>
    <x v="98"/>
    <x v="1"/>
    <d v="2024-06-03T00:00:00"/>
    <x v="0"/>
    <x v="1"/>
    <x v="2"/>
    <s v="No"/>
    <s v="-"/>
    <s v="No"/>
    <n v="0"/>
    <n v="1"/>
    <n v="4"/>
  </r>
  <r>
    <n v="3330"/>
    <x v="99"/>
    <x v="0"/>
    <d v="2024-06-04T00:00:00"/>
    <x v="1"/>
    <x v="0"/>
    <x v="0"/>
    <s v="Yes"/>
    <n v="30"/>
    <s v="Yes"/>
    <n v="20"/>
    <n v="15"/>
    <n v="50"/>
  </r>
  <r>
    <n v="3331"/>
    <x v="100"/>
    <x v="2"/>
    <d v="2024-06-05T00:00:00"/>
    <x v="0"/>
    <x v="2"/>
    <x v="0"/>
    <s v="No"/>
    <s v="-"/>
    <s v="Yes"/>
    <n v="20"/>
    <n v="5"/>
    <n v="25"/>
  </r>
  <r>
    <n v="3332"/>
    <x v="101"/>
    <x v="1"/>
    <d v="2024-06-06T00:00:00"/>
    <x v="1"/>
    <x v="1"/>
    <x v="1"/>
    <s v="No"/>
    <s v="-"/>
    <s v="No"/>
    <n v="0"/>
    <n v="0"/>
    <n v="5"/>
  </r>
  <r>
    <n v="3333"/>
    <x v="102"/>
    <x v="0"/>
    <d v="2024-06-07T00:00:00"/>
    <x v="0"/>
    <x v="0"/>
    <x v="2"/>
    <s v="Yes"/>
    <n v="30"/>
    <s v="Yes"/>
    <n v="20"/>
    <n v="20"/>
    <n v="45"/>
  </r>
  <r>
    <n v="3334"/>
    <x v="103"/>
    <x v="2"/>
    <d v="2024-06-08T00:00:00"/>
    <x v="1"/>
    <x v="2"/>
    <x v="2"/>
    <s v="No"/>
    <s v="-"/>
    <s v="Yes"/>
    <n v="20"/>
    <n v="12"/>
    <n v="18"/>
  </r>
  <r>
    <n v="3335"/>
    <x v="104"/>
    <x v="1"/>
    <d v="2024-06-09T00:00:00"/>
    <x v="0"/>
    <x v="1"/>
    <x v="0"/>
    <s v="No"/>
    <s v="-"/>
    <s v="No"/>
    <n v="0"/>
    <n v="2"/>
    <n v="3"/>
  </r>
  <r>
    <n v="3336"/>
    <x v="105"/>
    <x v="1"/>
    <d v="2024-06-10T00:00:00"/>
    <x v="0"/>
    <x v="1"/>
    <x v="0"/>
    <s v="No"/>
    <s v="-"/>
    <s v="No"/>
    <n v="0"/>
    <n v="0"/>
    <n v="5"/>
  </r>
  <r>
    <n v="3337"/>
    <x v="106"/>
    <x v="0"/>
    <d v="2024-06-11T00:00:00"/>
    <x v="1"/>
    <x v="0"/>
    <x v="2"/>
    <s v="Yes"/>
    <n v="30"/>
    <s v="Yes"/>
    <n v="20"/>
    <n v="7"/>
    <n v="58"/>
  </r>
  <r>
    <n v="3338"/>
    <x v="107"/>
    <x v="2"/>
    <d v="2024-06-12T00:00:00"/>
    <x v="0"/>
    <x v="2"/>
    <x v="1"/>
    <s v="No"/>
    <s v="-"/>
    <s v="Yes"/>
    <n v="20"/>
    <n v="10"/>
    <n v="20"/>
  </r>
  <r>
    <n v="3339"/>
    <x v="108"/>
    <x v="1"/>
    <d v="2024-06-13T00:00:00"/>
    <x v="1"/>
    <x v="1"/>
    <x v="2"/>
    <s v="No"/>
    <s v="-"/>
    <s v="No"/>
    <n v="0"/>
    <n v="1"/>
    <n v="4"/>
  </r>
  <r>
    <n v="3340"/>
    <x v="109"/>
    <x v="0"/>
    <d v="2024-06-14T00:00:00"/>
    <x v="0"/>
    <x v="0"/>
    <x v="0"/>
    <s v="Yes"/>
    <n v="30"/>
    <s v="Yes"/>
    <n v="20"/>
    <n v="15"/>
    <n v="50"/>
  </r>
  <r>
    <n v="3341"/>
    <x v="110"/>
    <x v="2"/>
    <d v="2024-06-15T00:00:00"/>
    <x v="1"/>
    <x v="2"/>
    <x v="0"/>
    <s v="No"/>
    <s v="-"/>
    <s v="Yes"/>
    <n v="20"/>
    <n v="5"/>
    <n v="25"/>
  </r>
  <r>
    <n v="3342"/>
    <x v="111"/>
    <x v="1"/>
    <d v="2024-06-16T00:00:00"/>
    <x v="0"/>
    <x v="1"/>
    <x v="1"/>
    <s v="No"/>
    <s v="-"/>
    <s v="No"/>
    <n v="0"/>
    <n v="0"/>
    <n v="5"/>
  </r>
  <r>
    <n v="3343"/>
    <x v="112"/>
    <x v="0"/>
    <d v="2024-06-17T00:00:00"/>
    <x v="1"/>
    <x v="0"/>
    <x v="2"/>
    <s v="Yes"/>
    <n v="30"/>
    <s v="Yes"/>
    <n v="20"/>
    <n v="20"/>
    <n v="45"/>
  </r>
  <r>
    <n v="3344"/>
    <x v="113"/>
    <x v="2"/>
    <d v="2024-06-18T00:00:00"/>
    <x v="0"/>
    <x v="2"/>
    <x v="2"/>
    <s v="No"/>
    <s v="-"/>
    <s v="Yes"/>
    <n v="20"/>
    <n v="12"/>
    <n v="18"/>
  </r>
  <r>
    <n v="3345"/>
    <x v="114"/>
    <x v="1"/>
    <d v="2024-06-19T00:00:00"/>
    <x v="1"/>
    <x v="1"/>
    <x v="0"/>
    <s v="No"/>
    <s v="-"/>
    <s v="No"/>
    <n v="0"/>
    <n v="2"/>
    <n v="3"/>
  </r>
  <r>
    <n v="3346"/>
    <x v="115"/>
    <x v="0"/>
    <d v="2024-06-20T00:00:00"/>
    <x v="0"/>
    <x v="0"/>
    <x v="1"/>
    <s v="Yes"/>
    <n v="30"/>
    <s v="Yes"/>
    <n v="20"/>
    <n v="5"/>
    <n v="60"/>
  </r>
  <r>
    <n v="3347"/>
    <x v="116"/>
    <x v="2"/>
    <d v="2024-06-21T00:00:00"/>
    <x v="1"/>
    <x v="2"/>
    <x v="0"/>
    <s v="No"/>
    <s v="-"/>
    <s v="Yes"/>
    <n v="20"/>
    <n v="10"/>
    <n v="20"/>
  </r>
  <r>
    <n v="3348"/>
    <x v="117"/>
    <x v="1"/>
    <d v="2024-06-22T00:00:00"/>
    <x v="0"/>
    <x v="1"/>
    <x v="2"/>
    <s v="No"/>
    <s v="-"/>
    <s v="No"/>
    <n v="0"/>
    <n v="0"/>
    <n v="5"/>
  </r>
  <r>
    <n v="3349"/>
    <x v="93"/>
    <x v="0"/>
    <d v="2024-06-23T00:00:00"/>
    <x v="1"/>
    <x v="0"/>
    <x v="0"/>
    <s v="Yes"/>
    <n v="30"/>
    <s v="Yes"/>
    <n v="20"/>
    <n v="3"/>
    <n v="62"/>
  </r>
  <r>
    <n v="3350"/>
    <x v="118"/>
    <x v="2"/>
    <d v="2024-06-24T00:00:00"/>
    <x v="0"/>
    <x v="2"/>
    <x v="1"/>
    <s v="No"/>
    <s v="-"/>
    <s v="Yes"/>
    <n v="20"/>
    <n v="15"/>
    <n v="15"/>
  </r>
  <r>
    <n v="3351"/>
    <x v="119"/>
    <x v="1"/>
    <d v="2024-06-25T00:00:00"/>
    <x v="1"/>
    <x v="1"/>
    <x v="0"/>
    <s v="No"/>
    <s v="-"/>
    <s v="No"/>
    <n v="0"/>
    <n v="1"/>
    <n v="4"/>
  </r>
  <r>
    <n v="3352"/>
    <x v="120"/>
    <x v="0"/>
    <d v="2024-06-26T00:00:00"/>
    <x v="0"/>
    <x v="0"/>
    <x v="2"/>
    <s v="Yes"/>
    <n v="30"/>
    <s v="Yes"/>
    <n v="20"/>
    <n v="7"/>
    <n v="58"/>
  </r>
  <r>
    <n v="3353"/>
    <x v="121"/>
    <x v="2"/>
    <d v="2024-06-27T00:00:00"/>
    <x v="1"/>
    <x v="2"/>
    <x v="0"/>
    <s v="No"/>
    <s v="-"/>
    <s v="Yes"/>
    <n v="20"/>
    <n v="10"/>
    <n v="20"/>
  </r>
  <r>
    <n v="3354"/>
    <x v="122"/>
    <x v="1"/>
    <d v="2024-06-28T00:00:00"/>
    <x v="0"/>
    <x v="1"/>
    <x v="1"/>
    <s v="No"/>
    <s v="-"/>
    <s v="No"/>
    <n v="0"/>
    <n v="0"/>
    <n v="5"/>
  </r>
  <r>
    <n v="3355"/>
    <x v="123"/>
    <x v="0"/>
    <d v="2024-06-29T00:00:00"/>
    <x v="1"/>
    <x v="0"/>
    <x v="0"/>
    <s v="Yes"/>
    <n v="30"/>
    <s v="Yes"/>
    <n v="20"/>
    <n v="20"/>
    <n v="45"/>
  </r>
  <r>
    <n v="3356"/>
    <x v="124"/>
    <x v="2"/>
    <d v="2024-06-30T00:00:00"/>
    <x v="0"/>
    <x v="2"/>
    <x v="2"/>
    <s v="No"/>
    <s v="-"/>
    <s v="Yes"/>
    <n v="20"/>
    <n v="15"/>
    <n v="15"/>
  </r>
  <r>
    <n v="3357"/>
    <x v="125"/>
    <x v="1"/>
    <d v="2024-07-01T00:00:00"/>
    <x v="1"/>
    <x v="1"/>
    <x v="0"/>
    <s v="No"/>
    <s v="-"/>
    <s v="No"/>
    <n v="0"/>
    <n v="1"/>
    <n v="4"/>
  </r>
  <r>
    <n v="3358"/>
    <x v="126"/>
    <x v="0"/>
    <d v="2024-07-02T00:00:00"/>
    <x v="0"/>
    <x v="0"/>
    <x v="1"/>
    <s v="Yes"/>
    <n v="30"/>
    <s v="Yes"/>
    <n v="20"/>
    <n v="3"/>
    <n v="62"/>
  </r>
  <r>
    <n v="3359"/>
    <x v="127"/>
    <x v="2"/>
    <d v="2024-07-03T00:00:00"/>
    <x v="1"/>
    <x v="2"/>
    <x v="0"/>
    <s v="No"/>
    <s v="-"/>
    <s v="Yes"/>
    <n v="20"/>
    <n v="10"/>
    <n v="20"/>
  </r>
  <r>
    <n v="3360"/>
    <x v="128"/>
    <x v="1"/>
    <d v="2024-07-04T00:00:00"/>
    <x v="0"/>
    <x v="1"/>
    <x v="2"/>
    <s v="No"/>
    <s v="-"/>
    <s v="No"/>
    <n v="0"/>
    <n v="0"/>
    <n v="5"/>
  </r>
  <r>
    <n v="3361"/>
    <x v="129"/>
    <x v="0"/>
    <d v="2024-07-05T00:00:00"/>
    <x v="1"/>
    <x v="0"/>
    <x v="0"/>
    <s v="Yes"/>
    <n v="30"/>
    <s v="Yes"/>
    <n v="20"/>
    <n v="15"/>
    <n v="50"/>
  </r>
  <r>
    <n v="3362"/>
    <x v="130"/>
    <x v="2"/>
    <d v="2024-07-06T00:00:00"/>
    <x v="0"/>
    <x v="2"/>
    <x v="1"/>
    <s v="No"/>
    <s v="-"/>
    <s v="Yes"/>
    <n v="20"/>
    <n v="15"/>
    <n v="15"/>
  </r>
  <r>
    <n v="3363"/>
    <x v="131"/>
    <x v="1"/>
    <d v="2024-07-07T00:00:00"/>
    <x v="1"/>
    <x v="1"/>
    <x v="0"/>
    <s v="No"/>
    <s v="-"/>
    <s v="No"/>
    <n v="0"/>
    <n v="1"/>
    <n v="4"/>
  </r>
  <r>
    <n v="3364"/>
    <x v="132"/>
    <x v="0"/>
    <d v="2024-07-08T00:00:00"/>
    <x v="0"/>
    <x v="0"/>
    <x v="2"/>
    <s v="Yes"/>
    <n v="30"/>
    <s v="Yes"/>
    <n v="20"/>
    <n v="7"/>
    <n v="58"/>
  </r>
  <r>
    <n v="3365"/>
    <x v="133"/>
    <x v="2"/>
    <d v="2024-07-09T00:00:00"/>
    <x v="1"/>
    <x v="2"/>
    <x v="0"/>
    <s v="No"/>
    <s v="-"/>
    <s v="Yes"/>
    <n v="20"/>
    <n v="10"/>
    <n v="20"/>
  </r>
  <r>
    <n v="3366"/>
    <x v="134"/>
    <x v="1"/>
    <d v="2024-07-10T00:00:00"/>
    <x v="0"/>
    <x v="1"/>
    <x v="0"/>
    <s v="No"/>
    <s v="-"/>
    <s v="No"/>
    <n v="0"/>
    <n v="0"/>
    <n v="5"/>
  </r>
  <r>
    <n v="3367"/>
    <x v="135"/>
    <x v="0"/>
    <d v="2024-07-11T00:00:00"/>
    <x v="1"/>
    <x v="0"/>
    <x v="2"/>
    <s v="Yes"/>
    <n v="30"/>
    <s v="Yes"/>
    <n v="20"/>
    <n v="7"/>
    <n v="58"/>
  </r>
  <r>
    <n v="3368"/>
    <x v="136"/>
    <x v="2"/>
    <d v="2024-07-12T00:00:00"/>
    <x v="0"/>
    <x v="2"/>
    <x v="1"/>
    <s v="No"/>
    <s v="-"/>
    <s v="Yes"/>
    <n v="20"/>
    <n v="10"/>
    <n v="20"/>
  </r>
  <r>
    <n v="3369"/>
    <x v="137"/>
    <x v="1"/>
    <d v="2024-07-13T00:00:00"/>
    <x v="1"/>
    <x v="1"/>
    <x v="2"/>
    <s v="No"/>
    <s v="-"/>
    <s v="No"/>
    <n v="0"/>
    <n v="1"/>
    <n v="4"/>
  </r>
  <r>
    <n v="3370"/>
    <x v="138"/>
    <x v="0"/>
    <d v="2024-07-14T00:00:00"/>
    <x v="0"/>
    <x v="0"/>
    <x v="0"/>
    <s v="Yes"/>
    <n v="30"/>
    <s v="Yes"/>
    <n v="20"/>
    <n v="15"/>
    <n v="50"/>
  </r>
  <r>
    <n v="3371"/>
    <x v="139"/>
    <x v="2"/>
    <d v="2024-07-15T00:00:00"/>
    <x v="1"/>
    <x v="2"/>
    <x v="0"/>
    <s v="No"/>
    <s v="-"/>
    <s v="Yes"/>
    <n v="20"/>
    <n v="5"/>
    <n v="25"/>
  </r>
  <r>
    <n v="3372"/>
    <x v="140"/>
    <x v="1"/>
    <d v="2024-07-16T00:00:00"/>
    <x v="0"/>
    <x v="1"/>
    <x v="1"/>
    <s v="No"/>
    <s v="-"/>
    <s v="No"/>
    <n v="0"/>
    <n v="0"/>
    <n v="5"/>
  </r>
  <r>
    <n v="3373"/>
    <x v="141"/>
    <x v="0"/>
    <d v="2024-07-17T00:00:00"/>
    <x v="1"/>
    <x v="0"/>
    <x v="2"/>
    <s v="Yes"/>
    <n v="30"/>
    <s v="Yes"/>
    <n v="20"/>
    <n v="20"/>
    <n v="45"/>
  </r>
  <r>
    <n v="3374"/>
    <x v="142"/>
    <x v="2"/>
    <d v="2024-07-18T00:00:00"/>
    <x v="0"/>
    <x v="2"/>
    <x v="2"/>
    <s v="No"/>
    <s v="-"/>
    <s v="Yes"/>
    <n v="20"/>
    <n v="12"/>
    <n v="18"/>
  </r>
  <r>
    <n v="3375"/>
    <x v="143"/>
    <x v="1"/>
    <d v="2024-07-19T00:00:00"/>
    <x v="1"/>
    <x v="1"/>
    <x v="0"/>
    <s v="No"/>
    <s v="-"/>
    <s v="No"/>
    <n v="0"/>
    <n v="2"/>
    <n v="3"/>
  </r>
  <r>
    <n v="3376"/>
    <x v="144"/>
    <x v="0"/>
    <d v="2024-07-20T00:00:00"/>
    <x v="0"/>
    <x v="0"/>
    <x v="1"/>
    <s v="Yes"/>
    <n v="30"/>
    <s v="Yes"/>
    <n v="20"/>
    <n v="5"/>
    <n v="60"/>
  </r>
  <r>
    <n v="3377"/>
    <x v="145"/>
    <x v="2"/>
    <d v="2024-07-21T00:00:00"/>
    <x v="1"/>
    <x v="2"/>
    <x v="0"/>
    <s v="No"/>
    <s v="-"/>
    <s v="Yes"/>
    <n v="20"/>
    <n v="10"/>
    <n v="20"/>
  </r>
  <r>
    <n v="3378"/>
    <x v="146"/>
    <x v="1"/>
    <d v="2024-07-22T00:00:00"/>
    <x v="0"/>
    <x v="1"/>
    <x v="2"/>
    <s v="No"/>
    <s v="-"/>
    <s v="No"/>
    <n v="0"/>
    <n v="0"/>
    <n v="5"/>
  </r>
  <r>
    <n v="3379"/>
    <x v="147"/>
    <x v="0"/>
    <d v="2024-07-23T00:00:00"/>
    <x v="1"/>
    <x v="0"/>
    <x v="0"/>
    <s v="Yes"/>
    <n v="30"/>
    <s v="Yes"/>
    <n v="20"/>
    <n v="3"/>
    <n v="62"/>
  </r>
  <r>
    <n v="3380"/>
    <x v="148"/>
    <x v="2"/>
    <d v="2024-07-24T00:00:00"/>
    <x v="0"/>
    <x v="2"/>
    <x v="1"/>
    <s v="No"/>
    <s v="-"/>
    <s v="Yes"/>
    <n v="20"/>
    <n v="15"/>
    <n v="15"/>
  </r>
  <r>
    <n v="3381"/>
    <x v="149"/>
    <x v="1"/>
    <d v="2024-07-25T00:00:00"/>
    <x v="1"/>
    <x v="1"/>
    <x v="0"/>
    <s v="No"/>
    <s v="-"/>
    <s v="No"/>
    <n v="0"/>
    <n v="1"/>
    <n v="4"/>
  </r>
  <r>
    <n v="3382"/>
    <x v="150"/>
    <x v="0"/>
    <d v="2024-07-26T00:00:00"/>
    <x v="0"/>
    <x v="0"/>
    <x v="2"/>
    <s v="Yes"/>
    <n v="30"/>
    <s v="Yes"/>
    <n v="20"/>
    <n v="7"/>
    <n v="58"/>
  </r>
  <r>
    <n v="3383"/>
    <x v="151"/>
    <x v="2"/>
    <d v="2024-07-27T00:00:00"/>
    <x v="1"/>
    <x v="2"/>
    <x v="0"/>
    <s v="No"/>
    <s v="-"/>
    <s v="Yes"/>
    <n v="20"/>
    <n v="10"/>
    <n v="20"/>
  </r>
  <r>
    <n v="3384"/>
    <x v="152"/>
    <x v="1"/>
    <d v="2024-07-28T00:00:00"/>
    <x v="0"/>
    <x v="1"/>
    <x v="1"/>
    <s v="No"/>
    <s v="-"/>
    <s v="No"/>
    <n v="0"/>
    <n v="0"/>
    <n v="5"/>
  </r>
  <r>
    <n v="3385"/>
    <x v="153"/>
    <x v="0"/>
    <d v="2024-07-29T00:00:00"/>
    <x v="1"/>
    <x v="0"/>
    <x v="0"/>
    <s v="Yes"/>
    <n v="30"/>
    <s v="Yes"/>
    <n v="20"/>
    <n v="20"/>
    <n v="45"/>
  </r>
  <r>
    <n v="3386"/>
    <x v="154"/>
    <x v="2"/>
    <d v="2024-07-30T00:00:00"/>
    <x v="0"/>
    <x v="2"/>
    <x v="2"/>
    <s v="No"/>
    <s v="-"/>
    <s v="Yes"/>
    <n v="20"/>
    <n v="15"/>
    <n v="15"/>
  </r>
  <r>
    <n v="3387"/>
    <x v="155"/>
    <x v="1"/>
    <d v="2024-07-31T00:00:00"/>
    <x v="1"/>
    <x v="1"/>
    <x v="0"/>
    <s v="No"/>
    <s v="-"/>
    <s v="No"/>
    <n v="0"/>
    <n v="1"/>
    <n v="4"/>
  </r>
  <r>
    <n v="3388"/>
    <x v="156"/>
    <x v="0"/>
    <d v="2024-08-01T00:00:00"/>
    <x v="0"/>
    <x v="0"/>
    <x v="1"/>
    <s v="Yes"/>
    <n v="30"/>
    <s v="Yes"/>
    <n v="20"/>
    <n v="3"/>
    <n v="62"/>
  </r>
  <r>
    <n v="3389"/>
    <x v="157"/>
    <x v="2"/>
    <d v="2024-08-02T00:00:00"/>
    <x v="1"/>
    <x v="2"/>
    <x v="0"/>
    <s v="No"/>
    <s v="-"/>
    <s v="Yes"/>
    <n v="20"/>
    <n v="10"/>
    <n v="20"/>
  </r>
  <r>
    <n v="3390"/>
    <x v="158"/>
    <x v="1"/>
    <d v="2024-08-03T00:00:00"/>
    <x v="0"/>
    <x v="1"/>
    <x v="2"/>
    <s v="No"/>
    <s v="-"/>
    <s v="No"/>
    <n v="0"/>
    <n v="0"/>
    <n v="5"/>
  </r>
  <r>
    <n v="3391"/>
    <x v="58"/>
    <x v="0"/>
    <d v="2024-08-04T00:00:00"/>
    <x v="1"/>
    <x v="0"/>
    <x v="0"/>
    <s v="Yes"/>
    <n v="30"/>
    <s v="Yes"/>
    <n v="20"/>
    <n v="15"/>
    <n v="50"/>
  </r>
  <r>
    <n v="3392"/>
    <x v="159"/>
    <x v="2"/>
    <d v="2024-08-05T00:00:00"/>
    <x v="0"/>
    <x v="2"/>
    <x v="1"/>
    <s v="No"/>
    <s v="-"/>
    <s v="Yes"/>
    <n v="20"/>
    <n v="15"/>
    <n v="15"/>
  </r>
  <r>
    <n v="3393"/>
    <x v="160"/>
    <x v="1"/>
    <d v="2024-08-06T00:00:00"/>
    <x v="1"/>
    <x v="1"/>
    <x v="0"/>
    <s v="No"/>
    <s v="-"/>
    <s v="No"/>
    <n v="0"/>
    <n v="1"/>
    <n v="4"/>
  </r>
  <r>
    <n v="3394"/>
    <x v="161"/>
    <x v="0"/>
    <d v="2024-08-07T00:00:00"/>
    <x v="0"/>
    <x v="0"/>
    <x v="2"/>
    <s v="Yes"/>
    <n v="30"/>
    <s v="Yes"/>
    <n v="20"/>
    <n v="7"/>
    <n v="58"/>
  </r>
  <r>
    <n v="3395"/>
    <x v="162"/>
    <x v="2"/>
    <d v="2024-08-08T00:00:00"/>
    <x v="1"/>
    <x v="2"/>
    <x v="0"/>
    <s v="No"/>
    <s v="-"/>
    <s v="Yes"/>
    <n v="20"/>
    <n v="10"/>
    <n v="20"/>
  </r>
  <r>
    <n v="3396"/>
    <x v="163"/>
    <x v="1"/>
    <d v="2024-08-09T00:00:00"/>
    <x v="0"/>
    <x v="1"/>
    <x v="1"/>
    <s v="No"/>
    <s v="-"/>
    <s v="No"/>
    <n v="0"/>
    <n v="0"/>
    <n v="5"/>
  </r>
  <r>
    <n v="3397"/>
    <x v="90"/>
    <x v="0"/>
    <d v="2024-08-10T00:00:00"/>
    <x v="1"/>
    <x v="0"/>
    <x v="0"/>
    <s v="Yes"/>
    <n v="30"/>
    <s v="Yes"/>
    <n v="20"/>
    <n v="20"/>
    <n v="45"/>
  </r>
  <r>
    <n v="3398"/>
    <x v="164"/>
    <x v="2"/>
    <d v="2024-08-11T00:00:00"/>
    <x v="0"/>
    <x v="2"/>
    <x v="2"/>
    <s v="No"/>
    <s v="-"/>
    <s v="Yes"/>
    <n v="20"/>
    <n v="15"/>
    <n v="15"/>
  </r>
  <r>
    <n v="3399"/>
    <x v="165"/>
    <x v="1"/>
    <d v="2024-08-12T00:00:00"/>
    <x v="1"/>
    <x v="1"/>
    <x v="0"/>
    <s v="No"/>
    <s v="-"/>
    <s v="No"/>
    <n v="0"/>
    <n v="1"/>
    <n v="4"/>
  </r>
  <r>
    <n v="3400"/>
    <x v="166"/>
    <x v="0"/>
    <d v="2024-08-13T00:00:00"/>
    <x v="0"/>
    <x v="0"/>
    <x v="1"/>
    <s v="Yes"/>
    <n v="30"/>
    <s v="Yes"/>
    <n v="20"/>
    <n v="5"/>
    <n v="60"/>
  </r>
  <r>
    <n v="3401"/>
    <x v="167"/>
    <x v="2"/>
    <d v="2024-08-14T00:00:00"/>
    <x v="1"/>
    <x v="2"/>
    <x v="0"/>
    <s v="No"/>
    <s v="-"/>
    <s v="Yes"/>
    <n v="20"/>
    <n v="10"/>
    <n v="20"/>
  </r>
  <r>
    <n v="3402"/>
    <x v="168"/>
    <x v="1"/>
    <d v="2024-08-15T00:00:00"/>
    <x v="0"/>
    <x v="1"/>
    <x v="2"/>
    <s v="No"/>
    <s v="-"/>
    <s v="No"/>
    <n v="0"/>
    <n v="0"/>
    <n v="5"/>
  </r>
  <r>
    <n v="3403"/>
    <x v="169"/>
    <x v="0"/>
    <d v="2024-08-16T00:00:00"/>
    <x v="1"/>
    <x v="0"/>
    <x v="0"/>
    <s v="Yes"/>
    <n v="30"/>
    <s v="Yes"/>
    <n v="20"/>
    <n v="3"/>
    <n v="62"/>
  </r>
  <r>
    <n v="3404"/>
    <x v="170"/>
    <x v="2"/>
    <d v="2024-08-17T00:00:00"/>
    <x v="0"/>
    <x v="2"/>
    <x v="1"/>
    <s v="No"/>
    <s v="-"/>
    <s v="Yes"/>
    <n v="20"/>
    <n v="15"/>
    <n v="15"/>
  </r>
  <r>
    <n v="3405"/>
    <x v="171"/>
    <x v="1"/>
    <d v="2024-08-18T00:00:00"/>
    <x v="1"/>
    <x v="1"/>
    <x v="0"/>
    <s v="No"/>
    <s v="-"/>
    <s v="No"/>
    <n v="0"/>
    <n v="1"/>
    <n v="4"/>
  </r>
  <r>
    <n v="3406"/>
    <x v="172"/>
    <x v="1"/>
    <d v="2024-08-19T00:00:00"/>
    <x v="0"/>
    <x v="1"/>
    <x v="0"/>
    <s v="No"/>
    <s v="-"/>
    <s v="No"/>
    <n v="0"/>
    <n v="0"/>
    <n v="5"/>
  </r>
  <r>
    <n v="3407"/>
    <x v="173"/>
    <x v="0"/>
    <d v="2024-08-20T00:00:00"/>
    <x v="1"/>
    <x v="0"/>
    <x v="2"/>
    <s v="Yes"/>
    <n v="30"/>
    <s v="Yes"/>
    <n v="20"/>
    <n v="7"/>
    <n v="58"/>
  </r>
  <r>
    <n v="3408"/>
    <x v="174"/>
    <x v="2"/>
    <d v="2024-08-21T00:00:00"/>
    <x v="0"/>
    <x v="2"/>
    <x v="1"/>
    <s v="No"/>
    <s v="-"/>
    <s v="Yes"/>
    <n v="20"/>
    <n v="10"/>
    <n v="20"/>
  </r>
  <r>
    <n v="3409"/>
    <x v="175"/>
    <x v="1"/>
    <d v="2024-08-22T00:00:00"/>
    <x v="1"/>
    <x v="1"/>
    <x v="2"/>
    <s v="No"/>
    <s v="-"/>
    <s v="No"/>
    <n v="0"/>
    <n v="1"/>
    <n v="4"/>
  </r>
  <r>
    <n v="3410"/>
    <x v="176"/>
    <x v="0"/>
    <d v="2024-08-23T00:00:00"/>
    <x v="0"/>
    <x v="0"/>
    <x v="0"/>
    <s v="Yes"/>
    <n v="30"/>
    <s v="Yes"/>
    <n v="20"/>
    <n v="15"/>
    <n v="50"/>
  </r>
  <r>
    <n v="3411"/>
    <x v="177"/>
    <x v="2"/>
    <d v="2024-08-24T00:00:00"/>
    <x v="1"/>
    <x v="2"/>
    <x v="0"/>
    <s v="No"/>
    <s v="-"/>
    <s v="Yes"/>
    <n v="20"/>
    <n v="5"/>
    <n v="25"/>
  </r>
  <r>
    <n v="3412"/>
    <x v="178"/>
    <x v="1"/>
    <d v="2024-08-25T00:00:00"/>
    <x v="0"/>
    <x v="1"/>
    <x v="1"/>
    <s v="No"/>
    <s v="-"/>
    <s v="No"/>
    <n v="0"/>
    <n v="0"/>
    <n v="5"/>
  </r>
  <r>
    <n v="3413"/>
    <x v="179"/>
    <x v="0"/>
    <d v="2024-08-26T00:00:00"/>
    <x v="1"/>
    <x v="0"/>
    <x v="2"/>
    <s v="Yes"/>
    <n v="30"/>
    <s v="Yes"/>
    <n v="20"/>
    <n v="20"/>
    <n v="45"/>
  </r>
  <r>
    <n v="3414"/>
    <x v="180"/>
    <x v="2"/>
    <d v="2024-08-27T00:00:00"/>
    <x v="0"/>
    <x v="2"/>
    <x v="2"/>
    <s v="No"/>
    <s v="-"/>
    <s v="Yes"/>
    <n v="20"/>
    <n v="12"/>
    <n v="18"/>
  </r>
  <r>
    <n v="3415"/>
    <x v="181"/>
    <x v="1"/>
    <d v="2024-08-28T00:00:00"/>
    <x v="1"/>
    <x v="1"/>
    <x v="0"/>
    <s v="No"/>
    <s v="-"/>
    <s v="No"/>
    <n v="0"/>
    <n v="2"/>
    <n v="3"/>
  </r>
  <r>
    <n v="3416"/>
    <x v="182"/>
    <x v="0"/>
    <d v="2024-08-29T00:00:00"/>
    <x v="0"/>
    <x v="0"/>
    <x v="1"/>
    <s v="Yes"/>
    <n v="30"/>
    <s v="Yes"/>
    <n v="20"/>
    <n v="5"/>
    <n v="60"/>
  </r>
  <r>
    <n v="3417"/>
    <x v="183"/>
    <x v="2"/>
    <d v="2024-08-30T00:00:00"/>
    <x v="1"/>
    <x v="2"/>
    <x v="0"/>
    <s v="No"/>
    <s v="-"/>
    <s v="Yes"/>
    <n v="20"/>
    <n v="10"/>
    <n v="20"/>
  </r>
  <r>
    <n v="3418"/>
    <x v="184"/>
    <x v="1"/>
    <d v="2024-08-31T00:00:00"/>
    <x v="0"/>
    <x v="1"/>
    <x v="2"/>
    <s v="No"/>
    <s v="-"/>
    <s v="No"/>
    <n v="0"/>
    <n v="0"/>
    <n v="5"/>
  </r>
  <r>
    <n v="3419"/>
    <x v="185"/>
    <x v="0"/>
    <d v="2024-09-01T00:00:00"/>
    <x v="1"/>
    <x v="0"/>
    <x v="0"/>
    <s v="Yes"/>
    <n v="30"/>
    <s v="Yes"/>
    <n v="20"/>
    <n v="3"/>
    <n v="62"/>
  </r>
  <r>
    <n v="3420"/>
    <x v="186"/>
    <x v="2"/>
    <d v="2024-09-02T00:00:00"/>
    <x v="0"/>
    <x v="2"/>
    <x v="1"/>
    <s v="No"/>
    <s v="-"/>
    <s v="Yes"/>
    <n v="20"/>
    <n v="15"/>
    <n v="15"/>
  </r>
  <r>
    <n v="3421"/>
    <x v="15"/>
    <x v="1"/>
    <d v="2024-09-03T00:00:00"/>
    <x v="1"/>
    <x v="1"/>
    <x v="0"/>
    <s v="No"/>
    <s v="-"/>
    <s v="No"/>
    <n v="0"/>
    <n v="1"/>
    <n v="4"/>
  </r>
  <r>
    <n v="3422"/>
    <x v="187"/>
    <x v="0"/>
    <d v="2024-09-04T00:00:00"/>
    <x v="0"/>
    <x v="0"/>
    <x v="2"/>
    <s v="Yes"/>
    <n v="30"/>
    <s v="Yes"/>
    <n v="20"/>
    <n v="7"/>
    <n v="58"/>
  </r>
  <r>
    <n v="3423"/>
    <x v="188"/>
    <x v="2"/>
    <d v="2024-09-05T00:00:00"/>
    <x v="1"/>
    <x v="2"/>
    <x v="0"/>
    <s v="No"/>
    <s v="-"/>
    <s v="Yes"/>
    <n v="20"/>
    <n v="10"/>
    <n v="20"/>
  </r>
  <r>
    <n v="3424"/>
    <x v="14"/>
    <x v="1"/>
    <d v="2024-09-06T00:00:00"/>
    <x v="0"/>
    <x v="1"/>
    <x v="1"/>
    <s v="No"/>
    <s v="-"/>
    <s v="No"/>
    <n v="0"/>
    <n v="0"/>
    <n v="5"/>
  </r>
  <r>
    <n v="3425"/>
    <x v="189"/>
    <x v="0"/>
    <d v="2024-09-07T00:00:00"/>
    <x v="1"/>
    <x v="0"/>
    <x v="0"/>
    <s v="Yes"/>
    <n v="30"/>
    <s v="Yes"/>
    <n v="20"/>
    <n v="20"/>
    <n v="45"/>
  </r>
  <r>
    <n v="3426"/>
    <x v="167"/>
    <x v="2"/>
    <d v="2024-09-08T00:00:00"/>
    <x v="0"/>
    <x v="2"/>
    <x v="2"/>
    <s v="No"/>
    <s v="-"/>
    <s v="Yes"/>
    <n v="20"/>
    <n v="15"/>
    <n v="15"/>
  </r>
  <r>
    <n v="3427"/>
    <x v="190"/>
    <x v="1"/>
    <d v="2024-09-09T00:00:00"/>
    <x v="1"/>
    <x v="1"/>
    <x v="0"/>
    <s v="No"/>
    <s v="-"/>
    <s v="No"/>
    <n v="0"/>
    <n v="1"/>
    <n v="4"/>
  </r>
  <r>
    <n v="3428"/>
    <x v="191"/>
    <x v="0"/>
    <d v="2024-09-10T00:00:00"/>
    <x v="0"/>
    <x v="0"/>
    <x v="1"/>
    <s v="Yes"/>
    <n v="30"/>
    <s v="Yes"/>
    <n v="20"/>
    <n v="3"/>
    <n v="62"/>
  </r>
  <r>
    <n v="3429"/>
    <x v="192"/>
    <x v="2"/>
    <d v="2024-09-11T00:00:00"/>
    <x v="1"/>
    <x v="2"/>
    <x v="0"/>
    <s v="No"/>
    <s v="-"/>
    <s v="Yes"/>
    <n v="20"/>
    <n v="10"/>
    <n v="20"/>
  </r>
  <r>
    <n v="3430"/>
    <x v="193"/>
    <x v="1"/>
    <d v="2024-09-12T00:00:00"/>
    <x v="0"/>
    <x v="1"/>
    <x v="2"/>
    <s v="No"/>
    <s v="-"/>
    <s v="No"/>
    <n v="0"/>
    <n v="0"/>
    <n v="5"/>
  </r>
  <r>
    <n v="3431"/>
    <x v="194"/>
    <x v="0"/>
    <d v="2024-09-13T00:00:00"/>
    <x v="1"/>
    <x v="0"/>
    <x v="0"/>
    <s v="Yes"/>
    <n v="30"/>
    <s v="Yes"/>
    <n v="20"/>
    <n v="15"/>
    <n v="50"/>
  </r>
  <r>
    <n v="3432"/>
    <x v="195"/>
    <x v="2"/>
    <d v="2024-09-14T00:00:00"/>
    <x v="0"/>
    <x v="2"/>
    <x v="1"/>
    <s v="No"/>
    <s v="-"/>
    <s v="Yes"/>
    <n v="20"/>
    <n v="15"/>
    <n v="15"/>
  </r>
  <r>
    <n v="3433"/>
    <x v="196"/>
    <x v="1"/>
    <d v="2024-09-15T00:00:00"/>
    <x v="1"/>
    <x v="1"/>
    <x v="0"/>
    <s v="No"/>
    <s v="-"/>
    <s v="No"/>
    <n v="0"/>
    <n v="1"/>
    <n v="4"/>
  </r>
  <r>
    <n v="3434"/>
    <x v="197"/>
    <x v="0"/>
    <d v="2024-09-16T00:00:00"/>
    <x v="0"/>
    <x v="0"/>
    <x v="2"/>
    <s v="Yes"/>
    <n v="30"/>
    <s v="Yes"/>
    <n v="20"/>
    <n v="7"/>
    <n v="58"/>
  </r>
  <r>
    <n v="3435"/>
    <x v="198"/>
    <x v="2"/>
    <d v="2024-09-17T00:00:00"/>
    <x v="1"/>
    <x v="2"/>
    <x v="0"/>
    <s v="No"/>
    <s v="-"/>
    <s v="Yes"/>
    <n v="20"/>
    <n v="10"/>
    <n v="20"/>
  </r>
  <r>
    <n v="3436"/>
    <x v="199"/>
    <x v="1"/>
    <d v="2024-09-18T00:00:00"/>
    <x v="0"/>
    <x v="1"/>
    <x v="0"/>
    <s v="No"/>
    <s v="-"/>
    <s v="No"/>
    <n v="0"/>
    <n v="0"/>
    <n v="5"/>
  </r>
  <r>
    <n v="3437"/>
    <x v="200"/>
    <x v="0"/>
    <d v="2024-09-19T00:00:00"/>
    <x v="1"/>
    <x v="0"/>
    <x v="2"/>
    <s v="Yes"/>
    <n v="30"/>
    <s v="Yes"/>
    <n v="20"/>
    <n v="7"/>
    <n v="58"/>
  </r>
  <r>
    <n v="3438"/>
    <x v="201"/>
    <x v="2"/>
    <d v="2024-09-20T00:00:00"/>
    <x v="0"/>
    <x v="2"/>
    <x v="1"/>
    <s v="No"/>
    <s v="-"/>
    <s v="Yes"/>
    <n v="20"/>
    <n v="10"/>
    <n v="20"/>
  </r>
  <r>
    <n v="3439"/>
    <x v="202"/>
    <x v="1"/>
    <d v="2024-09-21T00:00:00"/>
    <x v="1"/>
    <x v="1"/>
    <x v="2"/>
    <s v="No"/>
    <s v="-"/>
    <s v="No"/>
    <n v="0"/>
    <n v="1"/>
    <n v="4"/>
  </r>
  <r>
    <n v="3440"/>
    <x v="203"/>
    <x v="0"/>
    <d v="2024-09-22T00:00:00"/>
    <x v="0"/>
    <x v="0"/>
    <x v="0"/>
    <s v="Yes"/>
    <n v="30"/>
    <s v="Yes"/>
    <n v="20"/>
    <n v="15"/>
    <n v="50"/>
  </r>
  <r>
    <n v="3441"/>
    <x v="204"/>
    <x v="2"/>
    <d v="2024-09-23T00:00:00"/>
    <x v="1"/>
    <x v="2"/>
    <x v="0"/>
    <s v="No"/>
    <s v="-"/>
    <s v="Yes"/>
    <n v="20"/>
    <n v="5"/>
    <n v="25"/>
  </r>
  <r>
    <n v="3442"/>
    <x v="205"/>
    <x v="1"/>
    <d v="2024-09-24T00:00:00"/>
    <x v="0"/>
    <x v="1"/>
    <x v="1"/>
    <s v="No"/>
    <s v="-"/>
    <s v="No"/>
    <n v="0"/>
    <n v="0"/>
    <n v="5"/>
  </r>
  <r>
    <n v="3443"/>
    <x v="206"/>
    <x v="0"/>
    <d v="2024-09-25T00:00:00"/>
    <x v="1"/>
    <x v="0"/>
    <x v="2"/>
    <s v="Yes"/>
    <n v="30"/>
    <s v="Yes"/>
    <n v="20"/>
    <n v="20"/>
    <n v="45"/>
  </r>
  <r>
    <n v="3444"/>
    <x v="207"/>
    <x v="2"/>
    <d v="2024-09-26T00:00:00"/>
    <x v="0"/>
    <x v="2"/>
    <x v="2"/>
    <s v="No"/>
    <s v="-"/>
    <s v="Yes"/>
    <n v="20"/>
    <n v="12"/>
    <n v="18"/>
  </r>
  <r>
    <n v="3445"/>
    <x v="37"/>
    <x v="1"/>
    <d v="2024-09-27T00:00:00"/>
    <x v="1"/>
    <x v="1"/>
    <x v="0"/>
    <s v="No"/>
    <s v="-"/>
    <s v="No"/>
    <n v="0"/>
    <n v="2"/>
    <n v="3"/>
  </r>
  <r>
    <n v="3446"/>
    <x v="208"/>
    <x v="0"/>
    <d v="2024-09-28T00:00:00"/>
    <x v="0"/>
    <x v="0"/>
    <x v="1"/>
    <s v="Yes"/>
    <n v="30"/>
    <s v="Yes"/>
    <n v="20"/>
    <n v="5"/>
    <n v="60"/>
  </r>
  <r>
    <n v="3447"/>
    <x v="209"/>
    <x v="2"/>
    <d v="2024-09-29T00:00:00"/>
    <x v="1"/>
    <x v="2"/>
    <x v="0"/>
    <s v="No"/>
    <s v="-"/>
    <s v="Yes"/>
    <n v="20"/>
    <n v="10"/>
    <n v="20"/>
  </r>
  <r>
    <n v="3448"/>
    <x v="210"/>
    <x v="1"/>
    <d v="2024-09-30T00:00:00"/>
    <x v="0"/>
    <x v="1"/>
    <x v="2"/>
    <s v="No"/>
    <s v="-"/>
    <s v="No"/>
    <n v="0"/>
    <n v="0"/>
    <n v="5"/>
  </r>
  <r>
    <n v="3449"/>
    <x v="211"/>
    <x v="0"/>
    <d v="2024-10-01T00:00:00"/>
    <x v="1"/>
    <x v="0"/>
    <x v="0"/>
    <s v="Yes"/>
    <n v="30"/>
    <s v="Yes"/>
    <n v="20"/>
    <n v="3"/>
    <n v="62"/>
  </r>
  <r>
    <n v="3450"/>
    <x v="212"/>
    <x v="2"/>
    <d v="2024-10-02T00:00:00"/>
    <x v="0"/>
    <x v="2"/>
    <x v="1"/>
    <s v="No"/>
    <s v="-"/>
    <s v="Yes"/>
    <n v="20"/>
    <n v="15"/>
    <n v="15"/>
  </r>
  <r>
    <n v="3451"/>
    <x v="213"/>
    <x v="1"/>
    <d v="2024-10-03T00:00:00"/>
    <x v="1"/>
    <x v="1"/>
    <x v="0"/>
    <s v="No"/>
    <s v="-"/>
    <s v="No"/>
    <n v="0"/>
    <n v="1"/>
    <n v="4"/>
  </r>
  <r>
    <n v="3452"/>
    <x v="191"/>
    <x v="0"/>
    <d v="2024-10-04T00:00:00"/>
    <x v="0"/>
    <x v="0"/>
    <x v="2"/>
    <s v="Yes"/>
    <n v="30"/>
    <s v="Yes"/>
    <n v="20"/>
    <n v="7"/>
    <n v="58"/>
  </r>
  <r>
    <n v="3453"/>
    <x v="45"/>
    <x v="2"/>
    <d v="2024-10-05T00:00:00"/>
    <x v="1"/>
    <x v="2"/>
    <x v="0"/>
    <s v="No"/>
    <s v="-"/>
    <s v="Yes"/>
    <n v="20"/>
    <n v="10"/>
    <n v="20"/>
  </r>
  <r>
    <n v="3454"/>
    <x v="214"/>
    <x v="1"/>
    <d v="2024-10-06T00:00:00"/>
    <x v="0"/>
    <x v="1"/>
    <x v="1"/>
    <s v="No"/>
    <s v="-"/>
    <s v="No"/>
    <n v="0"/>
    <n v="0"/>
    <n v="5"/>
  </r>
  <r>
    <n v="3455"/>
    <x v="215"/>
    <x v="0"/>
    <d v="2024-10-07T00:00:00"/>
    <x v="1"/>
    <x v="0"/>
    <x v="0"/>
    <s v="Yes"/>
    <n v="30"/>
    <s v="Yes"/>
    <n v="20"/>
    <n v="20"/>
    <n v="45"/>
  </r>
  <r>
    <n v="3456"/>
    <x v="216"/>
    <x v="2"/>
    <d v="2024-10-08T00:00:00"/>
    <x v="0"/>
    <x v="2"/>
    <x v="2"/>
    <s v="No"/>
    <s v="-"/>
    <s v="Yes"/>
    <n v="20"/>
    <n v="15"/>
    <n v="15"/>
  </r>
  <r>
    <n v="3457"/>
    <x v="217"/>
    <x v="1"/>
    <d v="2024-10-09T00:00:00"/>
    <x v="1"/>
    <x v="1"/>
    <x v="0"/>
    <s v="No"/>
    <s v="-"/>
    <s v="No"/>
    <n v="0"/>
    <n v="1"/>
    <n v="4"/>
  </r>
  <r>
    <n v="3458"/>
    <x v="218"/>
    <x v="0"/>
    <d v="2024-10-10T00:00:00"/>
    <x v="0"/>
    <x v="0"/>
    <x v="1"/>
    <s v="Yes"/>
    <n v="30"/>
    <s v="Yes"/>
    <n v="20"/>
    <n v="3"/>
    <n v="62"/>
  </r>
  <r>
    <n v="3459"/>
    <x v="219"/>
    <x v="2"/>
    <d v="2024-10-11T00:00:00"/>
    <x v="1"/>
    <x v="2"/>
    <x v="0"/>
    <s v="No"/>
    <s v="-"/>
    <s v="Yes"/>
    <n v="20"/>
    <n v="10"/>
    <n v="20"/>
  </r>
  <r>
    <n v="3460"/>
    <x v="127"/>
    <x v="1"/>
    <d v="2024-10-12T00:00:00"/>
    <x v="0"/>
    <x v="1"/>
    <x v="2"/>
    <s v="No"/>
    <s v="-"/>
    <s v="No"/>
    <n v="0"/>
    <n v="0"/>
    <n v="5"/>
  </r>
  <r>
    <n v="3461"/>
    <x v="220"/>
    <x v="0"/>
    <d v="2024-10-13T00:00:00"/>
    <x v="1"/>
    <x v="0"/>
    <x v="0"/>
    <s v="Yes"/>
    <n v="30"/>
    <s v="Yes"/>
    <n v="20"/>
    <n v="15"/>
    <n v="50"/>
  </r>
  <r>
    <n v="3462"/>
    <x v="221"/>
    <x v="2"/>
    <d v="2024-10-14T00:00:00"/>
    <x v="0"/>
    <x v="2"/>
    <x v="1"/>
    <s v="No"/>
    <s v="-"/>
    <s v="Yes"/>
    <n v="20"/>
    <n v="15"/>
    <n v="15"/>
  </r>
  <r>
    <n v="3463"/>
    <x v="222"/>
    <x v="1"/>
    <d v="2024-10-15T00:00:00"/>
    <x v="1"/>
    <x v="1"/>
    <x v="0"/>
    <s v="No"/>
    <s v="-"/>
    <s v="No"/>
    <n v="0"/>
    <n v="1"/>
    <n v="4"/>
  </r>
  <r>
    <n v="3464"/>
    <x v="223"/>
    <x v="0"/>
    <d v="2024-10-16T00:00:00"/>
    <x v="0"/>
    <x v="0"/>
    <x v="2"/>
    <s v="Yes"/>
    <n v="30"/>
    <s v="Yes"/>
    <n v="20"/>
    <n v="7"/>
    <n v="58"/>
  </r>
  <r>
    <n v="3465"/>
    <x v="224"/>
    <x v="2"/>
    <d v="2024-10-17T00:00:00"/>
    <x v="1"/>
    <x v="2"/>
    <x v="0"/>
    <s v="No"/>
    <s v="-"/>
    <s v="Yes"/>
    <n v="20"/>
    <n v="10"/>
    <n v="20"/>
  </r>
  <r>
    <n v="3466"/>
    <x v="225"/>
    <x v="1"/>
    <d v="2024-10-18T00:00:00"/>
    <x v="0"/>
    <x v="1"/>
    <x v="1"/>
    <s v="No"/>
    <s v="-"/>
    <s v="No"/>
    <n v="0"/>
    <n v="0"/>
    <n v="5"/>
  </r>
  <r>
    <n v="3467"/>
    <x v="226"/>
    <x v="0"/>
    <d v="2024-10-19T00:00:00"/>
    <x v="1"/>
    <x v="0"/>
    <x v="0"/>
    <s v="Yes"/>
    <n v="30"/>
    <s v="Yes"/>
    <n v="20"/>
    <n v="15"/>
    <n v="50"/>
  </r>
  <r>
    <n v="3468"/>
    <x v="227"/>
    <x v="2"/>
    <d v="2024-10-20T00:00:00"/>
    <x v="0"/>
    <x v="2"/>
    <x v="2"/>
    <s v="No"/>
    <s v="-"/>
    <s v="Yes"/>
    <n v="20"/>
    <n v="12"/>
    <n v="18"/>
  </r>
  <r>
    <n v="3469"/>
    <x v="228"/>
    <x v="1"/>
    <d v="2024-10-21T00:00:00"/>
    <x v="1"/>
    <x v="1"/>
    <x v="0"/>
    <s v="No"/>
    <s v="-"/>
    <s v="No"/>
    <n v="0"/>
    <n v="2"/>
    <n v="3"/>
  </r>
  <r>
    <n v="3470"/>
    <x v="229"/>
    <x v="0"/>
    <d v="2024-10-22T00:00:00"/>
    <x v="0"/>
    <x v="0"/>
    <x v="1"/>
    <s v="Yes"/>
    <n v="30"/>
    <s v="Yes"/>
    <n v="20"/>
    <n v="5"/>
    <n v="60"/>
  </r>
  <r>
    <n v="3471"/>
    <x v="230"/>
    <x v="2"/>
    <d v="2024-10-23T00:00:00"/>
    <x v="1"/>
    <x v="2"/>
    <x v="0"/>
    <s v="No"/>
    <s v="-"/>
    <s v="Yes"/>
    <n v="20"/>
    <n v="10"/>
    <n v="20"/>
  </r>
  <r>
    <n v="3472"/>
    <x v="231"/>
    <x v="1"/>
    <d v="2024-10-24T00:00:00"/>
    <x v="0"/>
    <x v="1"/>
    <x v="2"/>
    <s v="No"/>
    <s v="-"/>
    <s v="No"/>
    <n v="0"/>
    <n v="0"/>
    <n v="5"/>
  </r>
  <r>
    <n v="3473"/>
    <x v="140"/>
    <x v="0"/>
    <d v="2024-10-25T00:00:00"/>
    <x v="1"/>
    <x v="0"/>
    <x v="0"/>
    <s v="Yes"/>
    <n v="30"/>
    <s v="Yes"/>
    <n v="20"/>
    <n v="3"/>
    <n v="62"/>
  </r>
  <r>
    <n v="3474"/>
    <x v="232"/>
    <x v="2"/>
    <d v="2024-10-26T00:00:00"/>
    <x v="0"/>
    <x v="2"/>
    <x v="1"/>
    <s v="No"/>
    <s v="-"/>
    <s v="Yes"/>
    <n v="20"/>
    <n v="15"/>
    <n v="15"/>
  </r>
  <r>
    <n v="3475"/>
    <x v="233"/>
    <x v="1"/>
    <d v="2024-10-27T00:00:00"/>
    <x v="1"/>
    <x v="1"/>
    <x v="0"/>
    <s v="No"/>
    <s v="-"/>
    <s v="No"/>
    <n v="0"/>
    <n v="1"/>
    <n v="4"/>
  </r>
  <r>
    <n v="3476"/>
    <x v="234"/>
    <x v="0"/>
    <d v="2024-10-28T00:00:00"/>
    <x v="0"/>
    <x v="0"/>
    <x v="2"/>
    <s v="Yes"/>
    <n v="30"/>
    <s v="Yes"/>
    <n v="20"/>
    <n v="7"/>
    <n v="58"/>
  </r>
  <r>
    <n v="3477"/>
    <x v="235"/>
    <x v="2"/>
    <d v="2024-10-29T00:00:00"/>
    <x v="1"/>
    <x v="2"/>
    <x v="0"/>
    <s v="No"/>
    <s v="-"/>
    <s v="Yes"/>
    <n v="20"/>
    <n v="10"/>
    <n v="20"/>
  </r>
  <r>
    <n v="3478"/>
    <x v="236"/>
    <x v="1"/>
    <d v="2024-10-30T00:00:00"/>
    <x v="0"/>
    <x v="1"/>
    <x v="1"/>
    <s v="No"/>
    <s v="-"/>
    <s v="No"/>
    <n v="0"/>
    <n v="0"/>
    <n v="5"/>
  </r>
  <r>
    <n v="3479"/>
    <x v="237"/>
    <x v="0"/>
    <d v="2024-10-31T00:00:00"/>
    <x v="1"/>
    <x v="0"/>
    <x v="0"/>
    <s v="Yes"/>
    <n v="30"/>
    <s v="Yes"/>
    <n v="20"/>
    <n v="20"/>
    <n v="45"/>
  </r>
  <r>
    <n v="3480"/>
    <x v="238"/>
    <x v="2"/>
    <d v="2024-11-01T00:00:00"/>
    <x v="0"/>
    <x v="2"/>
    <x v="2"/>
    <s v="No"/>
    <s v="-"/>
    <s v="Yes"/>
    <n v="20"/>
    <n v="15"/>
    <n v="15"/>
  </r>
  <r>
    <n v="3481"/>
    <x v="239"/>
    <x v="1"/>
    <d v="2024-11-02T00:00:00"/>
    <x v="1"/>
    <x v="1"/>
    <x v="0"/>
    <s v="No"/>
    <s v="-"/>
    <s v="No"/>
    <n v="0"/>
    <n v="1"/>
    <n v="4"/>
  </r>
  <r>
    <n v="3482"/>
    <x v="240"/>
    <x v="0"/>
    <d v="2024-11-03T00:00:00"/>
    <x v="0"/>
    <x v="0"/>
    <x v="1"/>
    <s v="Yes"/>
    <n v="30"/>
    <s v="Yes"/>
    <n v="20"/>
    <n v="3"/>
    <n v="62"/>
  </r>
  <r>
    <n v="3483"/>
    <x v="241"/>
    <x v="2"/>
    <d v="2024-11-04T00:00:00"/>
    <x v="1"/>
    <x v="2"/>
    <x v="0"/>
    <s v="No"/>
    <s v="-"/>
    <s v="Yes"/>
    <n v="20"/>
    <n v="10"/>
    <n v="20"/>
  </r>
  <r>
    <n v="3484"/>
    <x v="242"/>
    <x v="1"/>
    <d v="2024-11-05T00:00:00"/>
    <x v="0"/>
    <x v="1"/>
    <x v="2"/>
    <s v="No"/>
    <s v="-"/>
    <s v="No"/>
    <n v="0"/>
    <n v="0"/>
    <n v="5"/>
  </r>
  <r>
    <n v="3485"/>
    <x v="243"/>
    <x v="0"/>
    <d v="2024-11-06T00:00:00"/>
    <x v="1"/>
    <x v="0"/>
    <x v="0"/>
    <s v="Yes"/>
    <n v="30"/>
    <s v="Yes"/>
    <n v="20"/>
    <n v="15"/>
    <n v="50"/>
  </r>
  <r>
    <n v="3486"/>
    <x v="244"/>
    <x v="1"/>
    <d v="2024-11-07T00:00:00"/>
    <x v="0"/>
    <x v="1"/>
    <x v="0"/>
    <s v="No"/>
    <s v="-"/>
    <s v="No"/>
    <n v="0"/>
    <n v="0"/>
    <n v="5"/>
  </r>
  <r>
    <n v="3487"/>
    <x v="245"/>
    <x v="0"/>
    <d v="2024-11-08T00:00:00"/>
    <x v="1"/>
    <x v="0"/>
    <x v="2"/>
    <s v="Yes"/>
    <n v="30"/>
    <s v="Yes"/>
    <n v="20"/>
    <n v="7"/>
    <n v="58"/>
  </r>
  <r>
    <n v="3488"/>
    <x v="246"/>
    <x v="2"/>
    <d v="2024-11-09T00:00:00"/>
    <x v="0"/>
    <x v="2"/>
    <x v="1"/>
    <s v="No"/>
    <s v="-"/>
    <s v="Yes"/>
    <n v="20"/>
    <n v="10"/>
    <n v="20"/>
  </r>
  <r>
    <n v="3489"/>
    <x v="247"/>
    <x v="1"/>
    <d v="2024-11-10T00:00:00"/>
    <x v="1"/>
    <x v="1"/>
    <x v="2"/>
    <s v="No"/>
    <s v="-"/>
    <s v="No"/>
    <n v="0"/>
    <n v="1"/>
    <n v="4"/>
  </r>
  <r>
    <n v="3490"/>
    <x v="248"/>
    <x v="0"/>
    <d v="2024-11-11T00:00:00"/>
    <x v="0"/>
    <x v="0"/>
    <x v="0"/>
    <s v="Yes"/>
    <n v="30"/>
    <s v="Yes"/>
    <n v="20"/>
    <n v="15"/>
    <n v="50"/>
  </r>
  <r>
    <n v="3491"/>
    <x v="249"/>
    <x v="2"/>
    <d v="2024-11-12T00:00:00"/>
    <x v="1"/>
    <x v="2"/>
    <x v="0"/>
    <s v="No"/>
    <s v="-"/>
    <s v="Yes"/>
    <n v="20"/>
    <n v="5"/>
    <n v="25"/>
  </r>
  <r>
    <n v="3492"/>
    <x v="250"/>
    <x v="1"/>
    <d v="2024-11-13T00:00:00"/>
    <x v="0"/>
    <x v="1"/>
    <x v="1"/>
    <s v="No"/>
    <s v="-"/>
    <s v="No"/>
    <n v="0"/>
    <n v="0"/>
    <n v="5"/>
  </r>
  <r>
    <n v="3493"/>
    <x v="251"/>
    <x v="0"/>
    <d v="2024-11-14T00:00:00"/>
    <x v="1"/>
    <x v="0"/>
    <x v="2"/>
    <s v="Yes"/>
    <n v="30"/>
    <s v="Yes"/>
    <n v="20"/>
    <n v="20"/>
    <n v="45"/>
  </r>
  <r>
    <n v="3494"/>
    <x v="252"/>
    <x v="2"/>
    <d v="2024-11-15T00:00:00"/>
    <x v="0"/>
    <x v="2"/>
    <x v="2"/>
    <s v="No"/>
    <s v="-"/>
    <s v="Yes"/>
    <n v="20"/>
    <n v="12"/>
    <n v="18"/>
  </r>
  <r>
    <n v="3495"/>
    <x v="253"/>
    <x v="1"/>
    <d v="2024-11-16T00:00:00"/>
    <x v="1"/>
    <x v="1"/>
    <x v="0"/>
    <s v="No"/>
    <s v="-"/>
    <s v="No"/>
    <n v="0"/>
    <n v="2"/>
    <n v="3"/>
  </r>
  <r>
    <n v="3496"/>
    <x v="254"/>
    <x v="0"/>
    <d v="2024-11-17T00:00:00"/>
    <x v="0"/>
    <x v="0"/>
    <x v="1"/>
    <s v="Yes"/>
    <n v="30"/>
    <s v="Yes"/>
    <n v="20"/>
    <n v="5"/>
    <n v="60"/>
  </r>
  <r>
    <n v="3497"/>
    <x v="255"/>
    <x v="2"/>
    <d v="2024-11-18T00:00:00"/>
    <x v="1"/>
    <x v="2"/>
    <x v="0"/>
    <s v="No"/>
    <s v="-"/>
    <s v="Yes"/>
    <n v="20"/>
    <n v="10"/>
    <n v="20"/>
  </r>
  <r>
    <n v="3498"/>
    <x v="256"/>
    <x v="1"/>
    <d v="2024-11-19T00:00:00"/>
    <x v="0"/>
    <x v="1"/>
    <x v="2"/>
    <s v="No"/>
    <s v="-"/>
    <s v="No"/>
    <n v="0"/>
    <n v="0"/>
    <n v="5"/>
  </r>
  <r>
    <n v="3499"/>
    <x v="257"/>
    <x v="0"/>
    <d v="2024-11-20T00:00:00"/>
    <x v="1"/>
    <x v="0"/>
    <x v="0"/>
    <s v="Yes"/>
    <n v="30"/>
    <s v="Yes"/>
    <n v="20"/>
    <n v="3"/>
    <n v="62"/>
  </r>
  <r>
    <n v="3500"/>
    <x v="258"/>
    <x v="2"/>
    <d v="2024-11-21T00:00:00"/>
    <x v="0"/>
    <x v="2"/>
    <x v="1"/>
    <s v="No"/>
    <s v="-"/>
    <s v="Yes"/>
    <n v="20"/>
    <n v="15"/>
    <n v="15"/>
  </r>
  <r>
    <n v="3501"/>
    <x v="259"/>
    <x v="1"/>
    <d v="2024-11-22T00:00:00"/>
    <x v="1"/>
    <x v="1"/>
    <x v="0"/>
    <s v="No"/>
    <s v="-"/>
    <s v="No"/>
    <n v="0"/>
    <n v="1"/>
    <n v="4"/>
  </r>
  <r>
    <n v="3502"/>
    <x v="260"/>
    <x v="0"/>
    <d v="2024-11-23T00:00:00"/>
    <x v="0"/>
    <x v="0"/>
    <x v="2"/>
    <s v="Yes"/>
    <n v="30"/>
    <s v="Yes"/>
    <n v="20"/>
    <n v="7"/>
    <n v="58"/>
  </r>
  <r>
    <n v="3503"/>
    <x v="119"/>
    <x v="2"/>
    <d v="2024-11-24T00:00:00"/>
    <x v="1"/>
    <x v="2"/>
    <x v="0"/>
    <s v="No"/>
    <s v="-"/>
    <s v="Yes"/>
    <n v="20"/>
    <n v="10"/>
    <n v="20"/>
  </r>
  <r>
    <n v="3504"/>
    <x v="261"/>
    <x v="1"/>
    <d v="2024-11-25T00:00:00"/>
    <x v="0"/>
    <x v="1"/>
    <x v="1"/>
    <s v="No"/>
    <s v="-"/>
    <s v="No"/>
    <n v="0"/>
    <n v="0"/>
    <n v="5"/>
  </r>
  <r>
    <n v="3505"/>
    <x v="262"/>
    <x v="0"/>
    <d v="2024-11-26T00:00:00"/>
    <x v="1"/>
    <x v="0"/>
    <x v="0"/>
    <s v="Yes"/>
    <n v="30"/>
    <s v="Yes"/>
    <n v="20"/>
    <n v="20"/>
    <n v="45"/>
  </r>
  <r>
    <n v="3506"/>
    <x v="263"/>
    <x v="2"/>
    <d v="2024-11-27T00:00:00"/>
    <x v="0"/>
    <x v="2"/>
    <x v="2"/>
    <s v="No"/>
    <s v="-"/>
    <s v="Yes"/>
    <n v="20"/>
    <n v="15"/>
    <n v="15"/>
  </r>
  <r>
    <n v="3507"/>
    <x v="264"/>
    <x v="1"/>
    <d v="2024-11-28T00:00:00"/>
    <x v="1"/>
    <x v="1"/>
    <x v="0"/>
    <s v="No"/>
    <s v="-"/>
    <s v="No"/>
    <n v="0"/>
    <n v="1"/>
    <n v="4"/>
  </r>
  <r>
    <n v="3508"/>
    <x v="265"/>
    <x v="0"/>
    <d v="2024-11-29T00:00:00"/>
    <x v="0"/>
    <x v="0"/>
    <x v="1"/>
    <s v="Yes"/>
    <n v="30"/>
    <s v="Yes"/>
    <n v="20"/>
    <n v="3"/>
    <n v="62"/>
  </r>
  <r>
    <n v="3509"/>
    <x v="266"/>
    <x v="2"/>
    <d v="2024-11-30T00:00:00"/>
    <x v="1"/>
    <x v="2"/>
    <x v="0"/>
    <s v="No"/>
    <s v="-"/>
    <s v="Yes"/>
    <n v="20"/>
    <n v="10"/>
    <n v="20"/>
  </r>
  <r>
    <n v="3510"/>
    <x v="267"/>
    <x v="1"/>
    <d v="2024-12-01T00:00:00"/>
    <x v="0"/>
    <x v="1"/>
    <x v="2"/>
    <s v="No"/>
    <s v="-"/>
    <s v="No"/>
    <n v="0"/>
    <n v="0"/>
    <n v="5"/>
  </r>
  <r>
    <n v="3511"/>
    <x v="268"/>
    <x v="0"/>
    <d v="2024-12-02T00:00:00"/>
    <x v="1"/>
    <x v="0"/>
    <x v="0"/>
    <s v="Yes"/>
    <n v="30"/>
    <s v="Yes"/>
    <n v="20"/>
    <n v="15"/>
    <n v="50"/>
  </r>
  <r>
    <n v="3512"/>
    <x v="269"/>
    <x v="2"/>
    <d v="2024-12-03T00:00:00"/>
    <x v="0"/>
    <x v="2"/>
    <x v="1"/>
    <s v="No"/>
    <s v="-"/>
    <s v="Yes"/>
    <n v="20"/>
    <n v="15"/>
    <n v="15"/>
  </r>
  <r>
    <n v="3513"/>
    <x v="270"/>
    <x v="1"/>
    <d v="2024-12-04T00:00:00"/>
    <x v="1"/>
    <x v="1"/>
    <x v="0"/>
    <s v="No"/>
    <s v="-"/>
    <s v="No"/>
    <n v="0"/>
    <n v="1"/>
    <n v="4"/>
  </r>
  <r>
    <n v="3514"/>
    <x v="271"/>
    <x v="0"/>
    <d v="2024-12-05T00:00:00"/>
    <x v="0"/>
    <x v="0"/>
    <x v="2"/>
    <s v="Yes"/>
    <n v="30"/>
    <s v="Yes"/>
    <n v="20"/>
    <n v="7"/>
    <n v="58"/>
  </r>
  <r>
    <n v="3515"/>
    <x v="130"/>
    <x v="2"/>
    <d v="2024-12-06T00:00:00"/>
    <x v="1"/>
    <x v="2"/>
    <x v="0"/>
    <s v="No"/>
    <s v="-"/>
    <s v="Yes"/>
    <n v="20"/>
    <n v="10"/>
    <n v="20"/>
  </r>
  <r>
    <n v="3516"/>
    <x v="131"/>
    <x v="1"/>
    <d v="2024-12-07T00:00:00"/>
    <x v="0"/>
    <x v="1"/>
    <x v="1"/>
    <s v="No"/>
    <s v="-"/>
    <s v="No"/>
    <n v="0"/>
    <n v="0"/>
    <n v="5"/>
  </r>
  <r>
    <n v="3517"/>
    <x v="181"/>
    <x v="0"/>
    <d v="2024-12-08T00:00:00"/>
    <x v="1"/>
    <x v="0"/>
    <x v="0"/>
    <s v="Yes"/>
    <n v="30"/>
    <s v="Yes"/>
    <n v="20"/>
    <n v="20"/>
    <n v="45"/>
  </r>
  <r>
    <n v="3518"/>
    <x v="272"/>
    <x v="2"/>
    <d v="2024-12-09T00:00:00"/>
    <x v="0"/>
    <x v="2"/>
    <x v="2"/>
    <s v="No"/>
    <s v="-"/>
    <s v="Yes"/>
    <n v="20"/>
    <n v="12"/>
    <n v="18"/>
  </r>
  <r>
    <n v="3519"/>
    <x v="273"/>
    <x v="1"/>
    <d v="2024-12-10T00:00:00"/>
    <x v="1"/>
    <x v="1"/>
    <x v="0"/>
    <s v="No"/>
    <s v="-"/>
    <s v="No"/>
    <n v="0"/>
    <n v="2"/>
    <n v="3"/>
  </r>
  <r>
    <n v="3520"/>
    <x v="274"/>
    <x v="0"/>
    <d v="2024-12-11T00:00:00"/>
    <x v="0"/>
    <x v="0"/>
    <x v="1"/>
    <s v="Yes"/>
    <n v="30"/>
    <s v="Yes"/>
    <n v="20"/>
    <n v="5"/>
    <n v="60"/>
  </r>
  <r>
    <n v="3521"/>
    <x v="275"/>
    <x v="2"/>
    <d v="2024-12-12T00:00:00"/>
    <x v="1"/>
    <x v="2"/>
    <x v="0"/>
    <s v="No"/>
    <s v="-"/>
    <s v="Yes"/>
    <n v="20"/>
    <n v="10"/>
    <n v="20"/>
  </r>
  <r>
    <n v="3522"/>
    <x v="276"/>
    <x v="1"/>
    <d v="2024-12-13T00:00:00"/>
    <x v="0"/>
    <x v="1"/>
    <x v="2"/>
    <s v="No"/>
    <s v="-"/>
    <s v="No"/>
    <n v="0"/>
    <n v="0"/>
    <n v="5"/>
  </r>
  <r>
    <n v="3523"/>
    <x v="277"/>
    <x v="0"/>
    <d v="2024-12-14T00:00:00"/>
    <x v="1"/>
    <x v="0"/>
    <x v="0"/>
    <s v="Yes"/>
    <n v="30"/>
    <s v="Yes"/>
    <n v="20"/>
    <n v="3"/>
    <n v="62"/>
  </r>
  <r>
    <n v="3524"/>
    <x v="278"/>
    <x v="2"/>
    <d v="2024-12-15T00:00:00"/>
    <x v="0"/>
    <x v="2"/>
    <x v="1"/>
    <s v="No"/>
    <s v="-"/>
    <s v="Yes"/>
    <n v="20"/>
    <n v="15"/>
    <n v="15"/>
  </r>
  <r>
    <n v="3525"/>
    <x v="279"/>
    <x v="1"/>
    <d v="2024-12-16T00:00:00"/>
    <x v="1"/>
    <x v="1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7E691-EB7E-4CAD-A421-D77E00334448}" name="tbl_annual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364:D36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0BA43-D4F4-4C46-BB8B-ABD37AB23D6E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387:D39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DAA09-2F98-4BFF-BFA2-C14CA6913B68}" name="tbl_easeasonpass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375:D37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A641AB8-28DD-4C26-8B1E-E35A023BDEF3}" sourceName="Subscription Type">
  <pivotTables>
    <pivotTable tabId="3" name="tbl_annual_total"/>
    <pivotTable tabId="3" name="tbl_easeasonpass_total"/>
    <pivotTable tabId="3" name="Tabela dinâmica2"/>
  </pivotTables>
  <data>
    <tabular pivotCacheId="197135457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25FE382-8D43-4533-A7B8-B846CE9040E2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8" sqref="B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56:F391"/>
  <sheetViews>
    <sheetView showGridLines="0" topLeftCell="A351" workbookViewId="0">
      <selection activeCell="F391" sqref="F391"/>
    </sheetView>
  </sheetViews>
  <sheetFormatPr defaultRowHeight="15" x14ac:dyDescent="0.25"/>
  <cols>
    <col min="3" max="3" width="18.42578125" bestFit="1" customWidth="1"/>
    <col min="4" max="5" width="35.140625" bestFit="1" customWidth="1"/>
    <col min="6" max="6" width="37.710937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56" spans="3:4" x14ac:dyDescent="0.25">
      <c r="C356" t="s">
        <v>316</v>
      </c>
    </row>
    <row r="357" spans="3:4" x14ac:dyDescent="0.25">
      <c r="C357" t="s">
        <v>317</v>
      </c>
    </row>
    <row r="362" spans="3:4" x14ac:dyDescent="0.25">
      <c r="C362" s="12" t="s">
        <v>16</v>
      </c>
      <c r="D362" t="s">
        <v>27</v>
      </c>
    </row>
    <row r="364" spans="3:4" x14ac:dyDescent="0.25">
      <c r="C364" s="12" t="s">
        <v>313</v>
      </c>
      <c r="D364" t="s">
        <v>315</v>
      </c>
    </row>
    <row r="365" spans="3:4" x14ac:dyDescent="0.25">
      <c r="C365" s="13" t="s">
        <v>23</v>
      </c>
      <c r="D365" s="14">
        <v>806</v>
      </c>
    </row>
    <row r="366" spans="3:4" x14ac:dyDescent="0.25">
      <c r="C366" s="13" t="s">
        <v>19</v>
      </c>
      <c r="D366" s="14">
        <v>1502</v>
      </c>
    </row>
    <row r="367" spans="3:4" x14ac:dyDescent="0.25">
      <c r="C367" s="13" t="s">
        <v>314</v>
      </c>
      <c r="D367" s="14">
        <v>2308</v>
      </c>
    </row>
    <row r="371" spans="3:6" x14ac:dyDescent="0.25">
      <c r="C371" t="s">
        <v>319</v>
      </c>
    </row>
    <row r="373" spans="3:6" x14ac:dyDescent="0.25">
      <c r="C373" s="12" t="s">
        <v>16</v>
      </c>
      <c r="D373" t="s">
        <v>27</v>
      </c>
    </row>
    <row r="375" spans="3:6" x14ac:dyDescent="0.25">
      <c r="C375" s="12" t="s">
        <v>313</v>
      </c>
      <c r="D375" t="s">
        <v>320</v>
      </c>
    </row>
    <row r="376" spans="3:6" x14ac:dyDescent="0.25">
      <c r="C376" s="13" t="s">
        <v>22</v>
      </c>
      <c r="D376" s="19">
        <v>0</v>
      </c>
    </row>
    <row r="377" spans="3:6" x14ac:dyDescent="0.25">
      <c r="C377" s="13" t="s">
        <v>26</v>
      </c>
      <c r="D377" s="19">
        <v>0</v>
      </c>
    </row>
    <row r="378" spans="3:6" x14ac:dyDescent="0.25">
      <c r="C378" s="13" t="s">
        <v>18</v>
      </c>
      <c r="D378" s="19">
        <v>990</v>
      </c>
    </row>
    <row r="379" spans="3:6" x14ac:dyDescent="0.25">
      <c r="C379" s="13" t="s">
        <v>314</v>
      </c>
      <c r="D379" s="19">
        <v>990</v>
      </c>
      <c r="F379" s="17">
        <f>GETPIVOTDATA("EA Play Season Pass
Price",$C$375,"Plan","Ultimate")</f>
        <v>990</v>
      </c>
    </row>
    <row r="383" spans="3:6" x14ac:dyDescent="0.25">
      <c r="C383" t="s">
        <v>321</v>
      </c>
    </row>
    <row r="385" spans="3:6" x14ac:dyDescent="0.25">
      <c r="C385" s="12" t="s">
        <v>16</v>
      </c>
      <c r="D385" t="s">
        <v>27</v>
      </c>
    </row>
    <row r="387" spans="3:6" x14ac:dyDescent="0.25">
      <c r="C387" s="12" t="s">
        <v>313</v>
      </c>
      <c r="D387" t="s">
        <v>322</v>
      </c>
    </row>
    <row r="388" spans="3:6" x14ac:dyDescent="0.25">
      <c r="C388" s="13" t="s">
        <v>22</v>
      </c>
      <c r="D388" s="14">
        <v>0</v>
      </c>
    </row>
    <row r="389" spans="3:6" x14ac:dyDescent="0.25">
      <c r="C389" s="13" t="s">
        <v>26</v>
      </c>
      <c r="D389" s="14">
        <v>480</v>
      </c>
    </row>
    <row r="390" spans="3:6" x14ac:dyDescent="0.25">
      <c r="C390" s="13" t="s">
        <v>18</v>
      </c>
      <c r="D390" s="14">
        <v>660</v>
      </c>
    </row>
    <row r="391" spans="3:6" x14ac:dyDescent="0.25">
      <c r="C391" s="13" t="s">
        <v>314</v>
      </c>
      <c r="D391" s="14">
        <v>1140</v>
      </c>
      <c r="F391" s="17">
        <f>GETPIVOTDATA("Minecraft Season Pass Price",$C$387)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W71"/>
  <sheetViews>
    <sheetView showGridLines="0" showRowColHeaders="0" tabSelected="1" zoomScale="85" zoomScaleNormal="85" workbookViewId="0">
      <selection activeCell="L6" sqref="L6"/>
    </sheetView>
  </sheetViews>
  <sheetFormatPr defaultRowHeight="15" x14ac:dyDescent="0.25"/>
  <cols>
    <col min="1" max="1" width="34" style="5" customWidth="1"/>
    <col min="2" max="2" width="3.5703125" customWidth="1"/>
    <col min="12" max="12" width="6.5703125" customWidth="1"/>
  </cols>
  <sheetData>
    <row r="3" spans="1:23" ht="24.75" thickBot="1" x14ac:dyDescent="0.5">
      <c r="D3" s="18" t="s">
        <v>318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24" x14ac:dyDescent="0.45"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6" spans="1:23" s="7" customFormat="1" x14ac:dyDescent="0.25">
      <c r="A6" s="5"/>
    </row>
    <row r="7" spans="1:23" s="7" customFormat="1" x14ac:dyDescent="0.25">
      <c r="A7" s="5"/>
    </row>
    <row r="8" spans="1:23" s="7" customFormat="1" x14ac:dyDescent="0.25">
      <c r="A8" s="5"/>
    </row>
    <row r="9" spans="1:23" s="7" customFormat="1" x14ac:dyDescent="0.25">
      <c r="A9" s="5"/>
    </row>
    <row r="10" spans="1:23" s="7" customFormat="1" x14ac:dyDescent="0.25">
      <c r="A10" s="5"/>
    </row>
    <row r="11" spans="1:23" s="7" customFormat="1" x14ac:dyDescent="0.25">
      <c r="A11" s="5"/>
    </row>
    <row r="12" spans="1:23" s="7" customFormat="1" x14ac:dyDescent="0.25">
      <c r="A12" s="5"/>
    </row>
    <row r="13" spans="1:23" s="7" customFormat="1" x14ac:dyDescent="0.25">
      <c r="A13" s="5"/>
    </row>
    <row r="14" spans="1:23" s="7" customFormat="1" x14ac:dyDescent="0.25">
      <c r="A14" s="5"/>
    </row>
    <row r="15" spans="1:23" s="7" customFormat="1" x14ac:dyDescent="0.25">
      <c r="A15" s="5"/>
    </row>
    <row r="16" spans="1:23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Ten PM Rangel</cp:lastModifiedBy>
  <dcterms:created xsi:type="dcterms:W3CDTF">2024-12-19T13:13:10Z</dcterms:created>
  <dcterms:modified xsi:type="dcterms:W3CDTF">2026-01-14T14:34:14Z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